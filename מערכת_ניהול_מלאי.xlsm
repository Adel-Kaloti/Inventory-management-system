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32268505b0ed76c/Desktop/Inventory_management_system/"/>
    </mc:Choice>
  </mc:AlternateContent>
  <xr:revisionPtr revIDLastSave="9546" documentId="8_{0C0546B8-4D20-4497-9C01-ECEA55090322}" xr6:coauthVersionLast="47" xr6:coauthVersionMax="47" xr10:uidLastSave="{8875FF69-0F69-4775-A068-FB2545CCBF4C}"/>
  <bookViews>
    <workbookView xWindow="-98" yWindow="-98" windowWidth="21795" windowHeight="12975" tabRatio="760" activeTab="1" xr2:uid="{17ABF554-93E3-4613-B064-D3BBB70956D6}"/>
  </bookViews>
  <sheets>
    <sheet name="Manager" sheetId="7" r:id="rId1"/>
    <sheet name="INVENTORY" sheetId="6" r:id="rId2"/>
    <sheet name="PURCHASES" sheetId="2" r:id="rId3"/>
    <sheet name="SALES ORDER" sheetId="1" r:id="rId4"/>
    <sheet name="PRODUCTS" sheetId="3" r:id="rId5"/>
    <sheet name="SUPPLIERS" sheetId="4" r:id="rId6"/>
    <sheet name="CUSTOMERS" sheetId="5" r:id="rId7"/>
    <sheet name="Model_predictions" sheetId="10" r:id="rId8"/>
    <sheet name="Sheet4" sheetId="12" r:id="rId9"/>
    <sheet name="Sheet2" sheetId="9" state="hidden" r:id="rId10"/>
  </sheets>
  <definedNames>
    <definedName name="_xleta.SUM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7" i="2" l="1"/>
  <c r="C158" i="2"/>
  <c r="C159" i="2"/>
  <c r="C160" i="2"/>
  <c r="C151" i="2"/>
  <c r="C152" i="2"/>
  <c r="C153" i="2"/>
  <c r="C154" i="2"/>
  <c r="C155" i="2"/>
  <c r="C156" i="2"/>
  <c r="C150" i="2"/>
  <c r="C149" i="2"/>
  <c r="C148" i="2"/>
  <c r="C145" i="2"/>
  <c r="C146" i="2"/>
  <c r="C147" i="2"/>
  <c r="C142" i="2"/>
  <c r="C143" i="2"/>
  <c r="C144" i="2"/>
  <c r="C140" i="2"/>
  <c r="C141" i="2"/>
  <c r="C135" i="2"/>
  <c r="C136" i="2"/>
  <c r="C137" i="2"/>
  <c r="C138" i="2"/>
  <c r="C139" i="2"/>
  <c r="C132" i="2"/>
  <c r="C133" i="2"/>
  <c r="C134" i="2"/>
  <c r="C127" i="2"/>
  <c r="C128" i="2"/>
  <c r="C129" i="2"/>
  <c r="C130" i="2"/>
  <c r="C131" i="2"/>
  <c r="C125" i="2"/>
  <c r="C126" i="2"/>
  <c r="C117" i="2"/>
  <c r="C118" i="2"/>
  <c r="C119" i="2"/>
  <c r="C120" i="2"/>
  <c r="C121" i="2"/>
  <c r="C122" i="2"/>
  <c r="C123" i="2"/>
  <c r="C124" i="2"/>
  <c r="C115" i="2"/>
  <c r="C116" i="2"/>
  <c r="C113" i="2"/>
  <c r="C114" i="2"/>
  <c r="C111" i="2"/>
  <c r="C112" i="2"/>
  <c r="C110" i="2"/>
  <c r="C107" i="2"/>
  <c r="C108" i="2"/>
  <c r="C109" i="2"/>
  <c r="C102" i="2"/>
  <c r="C103" i="2"/>
  <c r="C104" i="2"/>
  <c r="C105" i="2"/>
  <c r="C106" i="2"/>
  <c r="C101" i="2"/>
  <c r="C100" i="2"/>
  <c r="C97" i="2"/>
  <c r="C98" i="2"/>
  <c r="C99" i="2"/>
  <c r="C95" i="2"/>
  <c r="C96" i="2"/>
  <c r="C92" i="2"/>
  <c r="C93" i="2"/>
  <c r="C94" i="2"/>
  <c r="C88" i="2"/>
  <c r="C89" i="2"/>
  <c r="C90" i="2"/>
  <c r="C91" i="2"/>
  <c r="C87" i="2"/>
  <c r="C86" i="2"/>
  <c r="C83" i="2"/>
  <c r="C84" i="2"/>
  <c r="C85" i="2"/>
  <c r="C81" i="2"/>
  <c r="C82" i="2"/>
  <c r="C77" i="2"/>
  <c r="C78" i="2"/>
  <c r="C79" i="2"/>
  <c r="C80" i="2"/>
  <c r="C74" i="2"/>
  <c r="C75" i="2"/>
  <c r="C76" i="2"/>
  <c r="C73" i="2"/>
  <c r="C72" i="2"/>
  <c r="C67" i="2"/>
  <c r="C68" i="2"/>
  <c r="C69" i="2"/>
  <c r="C70" i="2"/>
  <c r="C71" i="2"/>
  <c r="C66" i="2"/>
  <c r="C65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H2" i="6"/>
  <c r="H4" i="6"/>
  <c r="D15" i="6"/>
  <c r="D11" i="6"/>
  <c r="D52" i="6"/>
  <c r="D55" i="6"/>
  <c r="D49" i="6"/>
  <c r="D9" i="6"/>
  <c r="D54" i="6"/>
  <c r="D8" i="6"/>
  <c r="D50" i="6"/>
  <c r="D53" i="6"/>
  <c r="D45" i="6"/>
  <c r="D22" i="6"/>
  <c r="D42" i="6"/>
  <c r="D41" i="6"/>
  <c r="D39" i="6"/>
  <c r="D51" i="6"/>
  <c r="D56" i="6"/>
  <c r="D31" i="6"/>
  <c r="D32" i="6"/>
  <c r="D35" i="6"/>
  <c r="D33" i="6"/>
  <c r="D34" i="6"/>
  <c r="D30" i="6"/>
  <c r="D28" i="6"/>
  <c r="D29" i="6"/>
  <c r="D18" i="6"/>
  <c r="D21" i="6"/>
  <c r="D16" i="6"/>
  <c r="D26" i="6"/>
  <c r="D23" i="6"/>
  <c r="D19" i="6"/>
  <c r="D14" i="6"/>
  <c r="D20" i="6"/>
  <c r="D37" i="6"/>
  <c r="D43" i="6"/>
  <c r="D27" i="6"/>
  <c r="D25" i="6"/>
  <c r="D10" i="6"/>
  <c r="D38" i="6"/>
  <c r="D36" i="6"/>
  <c r="D24" i="6"/>
  <c r="D48" i="6"/>
  <c r="D17" i="6"/>
  <c r="D46" i="6"/>
  <c r="D47" i="6"/>
  <c r="D40" i="6"/>
  <c r="D13" i="6"/>
  <c r="D12" i="6"/>
  <c r="F15" i="6"/>
  <c r="I15" i="6" s="1"/>
  <c r="F11" i="6"/>
  <c r="I11" i="6" s="1"/>
  <c r="F52" i="6"/>
  <c r="I52" i="6" s="1"/>
  <c r="F55" i="6"/>
  <c r="I55" i="6" s="1"/>
  <c r="F49" i="6"/>
  <c r="I49" i="6" s="1"/>
  <c r="F9" i="6"/>
  <c r="I9" i="6" s="1"/>
  <c r="F54" i="6"/>
  <c r="I54" i="6" s="1"/>
  <c r="F8" i="6"/>
  <c r="I8" i="6" s="1"/>
  <c r="F50" i="6"/>
  <c r="I50" i="6" s="1"/>
  <c r="F53" i="6"/>
  <c r="I53" i="6" s="1"/>
  <c r="F45" i="6"/>
  <c r="I45" i="6" s="1"/>
  <c r="F22" i="6"/>
  <c r="I22" i="6" s="1"/>
  <c r="F42" i="6"/>
  <c r="I42" i="6" s="1"/>
  <c r="F41" i="6"/>
  <c r="I41" i="6" s="1"/>
  <c r="F39" i="6"/>
  <c r="I39" i="6" s="1"/>
  <c r="F51" i="6"/>
  <c r="I51" i="6" s="1"/>
  <c r="F56" i="6"/>
  <c r="I56" i="6" s="1"/>
  <c r="F31" i="6"/>
  <c r="I31" i="6" s="1"/>
  <c r="F32" i="6"/>
  <c r="I32" i="6" s="1"/>
  <c r="F35" i="6"/>
  <c r="I35" i="6" s="1"/>
  <c r="F33" i="6"/>
  <c r="I33" i="6" s="1"/>
  <c r="F34" i="6"/>
  <c r="I34" i="6" s="1"/>
  <c r="F30" i="6"/>
  <c r="I30" i="6" s="1"/>
  <c r="F28" i="6"/>
  <c r="I28" i="6" s="1"/>
  <c r="F29" i="6"/>
  <c r="I29" i="6" s="1"/>
  <c r="F18" i="6"/>
  <c r="I18" i="6" s="1"/>
  <c r="F21" i="6"/>
  <c r="I21" i="6" s="1"/>
  <c r="F16" i="6"/>
  <c r="I16" i="6" s="1"/>
  <c r="F26" i="6"/>
  <c r="I26" i="6" s="1"/>
  <c r="F23" i="6"/>
  <c r="I23" i="6" s="1"/>
  <c r="F19" i="6"/>
  <c r="I19" i="6" s="1"/>
  <c r="F14" i="6"/>
  <c r="I14" i="6" s="1"/>
  <c r="F20" i="6"/>
  <c r="I20" i="6" s="1"/>
  <c r="F37" i="6"/>
  <c r="I37" i="6" s="1"/>
  <c r="F43" i="6"/>
  <c r="I43" i="6" s="1"/>
  <c r="F27" i="6"/>
  <c r="I27" i="6" s="1"/>
  <c r="F25" i="6"/>
  <c r="I25" i="6" s="1"/>
  <c r="F10" i="6"/>
  <c r="I10" i="6" s="1"/>
  <c r="F38" i="6"/>
  <c r="I38" i="6" s="1"/>
  <c r="F36" i="6"/>
  <c r="I36" i="6" s="1"/>
  <c r="F24" i="6"/>
  <c r="I24" i="6" s="1"/>
  <c r="F48" i="6"/>
  <c r="I48" i="6" s="1"/>
  <c r="F17" i="6"/>
  <c r="I17" i="6" s="1"/>
  <c r="F46" i="6"/>
  <c r="I46" i="6" s="1"/>
  <c r="F47" i="6"/>
  <c r="I47" i="6" s="1"/>
  <c r="F40" i="6"/>
  <c r="I40" i="6" s="1"/>
  <c r="F13" i="6"/>
  <c r="I13" i="6" s="1"/>
  <c r="F12" i="6"/>
  <c r="I12" i="6" s="1"/>
  <c r="G15" i="6"/>
  <c r="J15" i="6" s="1"/>
  <c r="G11" i="6"/>
  <c r="J11" i="6" s="1"/>
  <c r="G52" i="6"/>
  <c r="J52" i="6" s="1"/>
  <c r="G55" i="6"/>
  <c r="J55" i="6" s="1"/>
  <c r="G49" i="6"/>
  <c r="J49" i="6" s="1"/>
  <c r="G9" i="6"/>
  <c r="J9" i="6" s="1"/>
  <c r="G54" i="6"/>
  <c r="J54" i="6" s="1"/>
  <c r="G8" i="6"/>
  <c r="J8" i="6" s="1"/>
  <c r="G50" i="6"/>
  <c r="J50" i="6" s="1"/>
  <c r="G53" i="6"/>
  <c r="J53" i="6" s="1"/>
  <c r="G45" i="6"/>
  <c r="J45" i="6" s="1"/>
  <c r="G22" i="6"/>
  <c r="J22" i="6" s="1"/>
  <c r="G42" i="6"/>
  <c r="J42" i="6" s="1"/>
  <c r="G41" i="6"/>
  <c r="J41" i="6" s="1"/>
  <c r="G39" i="6"/>
  <c r="J39" i="6" s="1"/>
  <c r="G51" i="6"/>
  <c r="J51" i="6" s="1"/>
  <c r="G56" i="6"/>
  <c r="J56" i="6" s="1"/>
  <c r="G31" i="6"/>
  <c r="J31" i="6" s="1"/>
  <c r="G32" i="6"/>
  <c r="J32" i="6" s="1"/>
  <c r="G35" i="6"/>
  <c r="J35" i="6" s="1"/>
  <c r="G33" i="6"/>
  <c r="J33" i="6" s="1"/>
  <c r="G34" i="6"/>
  <c r="J34" i="6" s="1"/>
  <c r="G30" i="6"/>
  <c r="J30" i="6" s="1"/>
  <c r="G28" i="6"/>
  <c r="J28" i="6" s="1"/>
  <c r="G29" i="6"/>
  <c r="J29" i="6" s="1"/>
  <c r="G18" i="6"/>
  <c r="J18" i="6" s="1"/>
  <c r="G21" i="6"/>
  <c r="J21" i="6" s="1"/>
  <c r="G16" i="6"/>
  <c r="J16" i="6" s="1"/>
  <c r="G26" i="6"/>
  <c r="J26" i="6" s="1"/>
  <c r="G23" i="6"/>
  <c r="J23" i="6" s="1"/>
  <c r="G19" i="6"/>
  <c r="J19" i="6" s="1"/>
  <c r="G14" i="6"/>
  <c r="J14" i="6" s="1"/>
  <c r="G20" i="6"/>
  <c r="J20" i="6" s="1"/>
  <c r="G37" i="6"/>
  <c r="J37" i="6" s="1"/>
  <c r="G43" i="6"/>
  <c r="J43" i="6" s="1"/>
  <c r="G27" i="6"/>
  <c r="J27" i="6" s="1"/>
  <c r="G25" i="6"/>
  <c r="J25" i="6" s="1"/>
  <c r="G10" i="6"/>
  <c r="J10" i="6" s="1"/>
  <c r="G38" i="6"/>
  <c r="J38" i="6" s="1"/>
  <c r="G36" i="6"/>
  <c r="J36" i="6" s="1"/>
  <c r="G24" i="6"/>
  <c r="J24" i="6" s="1"/>
  <c r="G48" i="6"/>
  <c r="J48" i="6" s="1"/>
  <c r="G17" i="6"/>
  <c r="J17" i="6" s="1"/>
  <c r="G46" i="6"/>
  <c r="J46" i="6" s="1"/>
  <c r="G47" i="6"/>
  <c r="J47" i="6" s="1"/>
  <c r="G40" i="6"/>
  <c r="J40" i="6" s="1"/>
  <c r="G13" i="6"/>
  <c r="J13" i="6" s="1"/>
  <c r="G12" i="6"/>
  <c r="J12" i="6" s="1"/>
  <c r="D44" i="6"/>
  <c r="F44" i="6"/>
  <c r="I44" i="6" s="1"/>
  <c r="G44" i="6"/>
  <c r="J44" i="6" s="1"/>
  <c r="E2" i="6"/>
  <c r="K54" i="6" l="1"/>
  <c r="K25" i="6"/>
  <c r="K19" i="6"/>
  <c r="K45" i="6"/>
  <c r="K9" i="6"/>
  <c r="K50" i="6"/>
  <c r="K8" i="6"/>
  <c r="K26" i="6"/>
  <c r="K21" i="6"/>
  <c r="K49" i="6"/>
  <c r="K16" i="6"/>
  <c r="K27" i="6"/>
  <c r="K18" i="6"/>
  <c r="K53" i="6"/>
  <c r="K23" i="6"/>
  <c r="K42" i="6"/>
  <c r="K22" i="6"/>
  <c r="K55" i="6"/>
  <c r="K43" i="6"/>
  <c r="K37" i="6"/>
  <c r="K13" i="6"/>
  <c r="K28" i="6"/>
  <c r="K11" i="6"/>
  <c r="K14" i="6"/>
  <c r="K40" i="6"/>
  <c r="K30" i="6"/>
  <c r="K15" i="6"/>
  <c r="K41" i="6"/>
  <c r="K20" i="6"/>
  <c r="K47" i="6"/>
  <c r="K34" i="6"/>
  <c r="K33" i="6"/>
  <c r="K35" i="6"/>
  <c r="K46" i="6"/>
  <c r="K12" i="6"/>
  <c r="K29" i="6"/>
  <c r="K52" i="6"/>
  <c r="K10" i="6"/>
  <c r="K39" i="6"/>
  <c r="K38" i="6"/>
  <c r="K44" i="6"/>
  <c r="K17" i="6"/>
  <c r="K32" i="6"/>
  <c r="K48" i="6"/>
  <c r="K31" i="6"/>
  <c r="K51" i="6"/>
  <c r="K24" i="6"/>
  <c r="K36" i="6"/>
  <c r="K56" i="6"/>
  <c r="E4" i="6" l="1"/>
</calcChain>
</file>

<file path=xl/sharedStrings.xml><?xml version="1.0" encoding="utf-8"?>
<sst xmlns="http://schemas.openxmlformats.org/spreadsheetml/2006/main" count="2560" uniqueCount="101">
  <si>
    <t>Product Id</t>
  </si>
  <si>
    <t>Product Name</t>
  </si>
  <si>
    <t>Holding cost (per unit)</t>
  </si>
  <si>
    <t>Supplier Id</t>
  </si>
  <si>
    <t>Supplier Name</t>
  </si>
  <si>
    <t xml:space="preserve">Phone </t>
  </si>
  <si>
    <t>Email</t>
  </si>
  <si>
    <t>Customer Id</t>
  </si>
  <si>
    <t>Customer Name</t>
  </si>
  <si>
    <t>Order Quantity</t>
  </si>
  <si>
    <t xml:space="preserve">Sale Quantity </t>
  </si>
  <si>
    <t>Reorder Point</t>
  </si>
  <si>
    <t>Alert</t>
  </si>
  <si>
    <t>Order Date</t>
  </si>
  <si>
    <t>Purchase Date</t>
  </si>
  <si>
    <t xml:space="preserve">Cost Price </t>
  </si>
  <si>
    <t>Sale Price</t>
  </si>
  <si>
    <t>S001</t>
  </si>
  <si>
    <t>S002</t>
  </si>
  <si>
    <t>S003</t>
  </si>
  <si>
    <t>Lead Time</t>
  </si>
  <si>
    <t>1234567890</t>
  </si>
  <si>
    <t>C001</t>
  </si>
  <si>
    <t>Ordering Cost</t>
  </si>
  <si>
    <t>Purchases</t>
  </si>
  <si>
    <t>Sales Order</t>
  </si>
  <si>
    <t>Suppliers</t>
  </si>
  <si>
    <t>Customers</t>
  </si>
  <si>
    <t>Inventory Value</t>
  </si>
  <si>
    <t>Unique Products</t>
  </si>
  <si>
    <t>Date</t>
  </si>
  <si>
    <t>Re_Order</t>
  </si>
  <si>
    <t>מק"ט</t>
  </si>
  <si>
    <t>שם מוצר</t>
  </si>
  <si>
    <t>כמות במלאי</t>
  </si>
  <si>
    <t>זמן אספקה</t>
  </si>
  <si>
    <t>עלות ההזמנה</t>
  </si>
  <si>
    <t>סנו</t>
  </si>
  <si>
    <t>טאצ</t>
  </si>
  <si>
    <t> 7290011765392</t>
  </si>
  <si>
    <t> 7290103704759</t>
  </si>
  <si>
    <t> 7290108353600</t>
  </si>
  <si>
    <t>סנו ז'אוול 4 ליטר אקונומיקה בניחוח פריחה לבנה</t>
  </si>
  <si>
    <t>סנו ז'אוול אקונומיקה סמיכה 4 ליטר</t>
  </si>
  <si>
    <t>סנו ז'אוול לימון אקונומיקה 4 ליטר</t>
  </si>
  <si>
    <t>פיירי קפסולות למדיח פלטינום 30 יח'</t>
  </si>
  <si>
    <t>פיירי קפסולות למדיח פלטינום+דיפ קלי 40יח</t>
  </si>
  <si>
    <t>נוזל כלים פיירי אוריגינל</t>
  </si>
  <si>
    <t>נוזל כלים פיירי ורדים ומשי</t>
  </si>
  <si>
    <t>פיירי לימון  1.19 ליטר</t>
  </si>
  <si>
    <t>נוזל פיירי כלים לימון</t>
  </si>
  <si>
    <t>נוזל כלים פיירי לימון</t>
  </si>
  <si>
    <t>פיירי לימון 440 מ"ל</t>
  </si>
  <si>
    <t>כיף אל סבון שקית מילוי + פקק</t>
  </si>
  <si>
    <t>כיף בוב ספוג שמפו אל דמע</t>
  </si>
  <si>
    <t>כיף פיות - שמפו לסירוק קל</t>
  </si>
  <si>
    <t>כיף לגבר 3 ב-1 COOL SPORT שמפו, ג'ל רחצה וסבון פנים, אלוורה</t>
  </si>
  <si>
    <t>כיף לגבר 3 ב-1 ULTRA POWER שמפו, ג'ל רחצה וסבון פנים, קפאין</t>
  </si>
  <si>
    <t>כיף מוס רחצה בניחוח גלידה קרם עוגיות</t>
  </si>
  <si>
    <t>פיירי פלטינום לימון 780 מ"ל</t>
  </si>
  <si>
    <t>פיירי 96 טבליות פלטינום</t>
  </si>
  <si>
    <t>טואלט טאצ’ 16 גליל כפול – “פרח סגול”</t>
  </si>
  <si>
    <t>נייר טואלט חתוך 800 דף טאצ’</t>
  </si>
  <si>
    <t>מגבוני טואלט לחים מארז שלישיה טאצ’</t>
  </si>
  <si>
    <t>מגבוני טואלט לחים מארז שלישיה טאצ’ (צהוב)</t>
  </si>
  <si>
    <t>מגבות נייר 6 גלילים טאצ’</t>
  </si>
  <si>
    <t>מגבות נייר 8 גלילים טאצ’</t>
  </si>
  <si>
    <t>ג’ל אורנים מרוכז לניקוי רב תכליתי 1 ליטר טאצ’</t>
  </si>
  <si>
    <t>מטליות לחות נשלפות 2 -ב1 גם ניקוי וגם חיטוי לניקוי כללי- בניחוח לימון</t>
  </si>
  <si>
    <t>מטליות לחות נשלפות 2 -ב1 גם ניקוי וגם חיטוי לניקוי כללי- בניחוח תפוח</t>
  </si>
  <si>
    <t>תרסיס קצף ניקוי כללי 500 מ”ל טאצ’</t>
  </si>
  <si>
    <t>מקסימה אבקת כביסה סנסטיב 2.5 ק'ג</t>
  </si>
  <si>
    <t>מקסימה אבקת כביסה ז'אוול 2.5 ק'ג</t>
  </si>
  <si>
    <t>מרכך כביסה מקסימה בייבי מרוכז 1 ליטר</t>
  </si>
  <si>
    <t>מקסימה קול מרוכז 1 ליטר</t>
  </si>
  <si>
    <t>סנו פורטה פלוס 1 ליטר</t>
  </si>
  <si>
    <t>סנו רסס ונגב</t>
  </si>
  <si>
    <t>סנו 99.9% מחטא ומשמיד חיידקים</t>
  </si>
  <si>
    <t>סנוג'ט+ חומץ מטליות לחות לניקוי כללי</t>
  </si>
  <si>
    <t>סנו אוקסיג'ן Power אבקה עוצמתית לניקוי והסרת כתמים קשים 1.4 ק'ג</t>
  </si>
  <si>
    <t>סנו אוקסיג'ן 3 ליטר מסיר כתמים מכביסה לבנה</t>
  </si>
  <si>
    <t>סנו אוקסיג'ן ג'ל 3 ליטר</t>
  </si>
  <si>
    <t>סנוקל רסס כבס 750 מל</t>
  </si>
  <si>
    <t>סופט טואלט בוב ספוג שלישייה</t>
  </si>
  <si>
    <t>סופט מגבוני טואלט לחים נשטפים באסלה</t>
  </si>
  <si>
    <t>סנובון מגבונים לניקוי וחיטוי מושב האסלה</t>
  </si>
  <si>
    <t>סנו סושי מגבות נייר4 גלילים ארוכים פי 3 = 12 גלילים</t>
  </si>
  <si>
    <t>סנו סושי רב-מגבת ג'מבו</t>
  </si>
  <si>
    <t>סנו סושי מגבות הפלא פרימיום 4 שכבות 6 יחידות</t>
  </si>
  <si>
    <t>סופט לושן ממחטות אף 3 שכבות עשירות בלחות</t>
  </si>
  <si>
    <t>סופט לושן ממחטות אף 3 שכבות עשירות בלחות לושן מארז צמד 2X100</t>
  </si>
  <si>
    <t>סנו די! קידס דוחה יתושים עם קמומיל לילדים 50 מל</t>
  </si>
  <si>
    <t>סנו די ג'ונגל</t>
  </si>
  <si>
    <t>סנומט-מכשיר+30 טבליות</t>
  </si>
  <si>
    <t>Admain</t>
  </si>
  <si>
    <t>contact@admin.com</t>
  </si>
  <si>
    <t>Predicted_Demand (Daily)</t>
  </si>
  <si>
    <t>שסטוביץ</t>
  </si>
  <si>
    <t>id</t>
  </si>
  <si>
    <t>date</t>
  </si>
  <si>
    <t>predicted_demand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</si>
</sst>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[$-F800]dddd\,\ mmmm\ dd\,\ yyyy"/>
    <numFmt numFmtId="166" formatCode="_ [$₪-40D]\ * #,##0.00_ ;_ [$₪-40D]\ * \-#,##0.00_ ;_ [$₪-40D]\ * &quot;-&quot;??_ ;_ @_ 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rgb="FF212529"/>
      <name val="Arial"/>
      <family val="2"/>
    </font>
    <font>
      <sz val="10"/>
      <color rgb="FF232323"/>
      <name val="Arial"/>
      <family val="2"/>
    </font>
    <font>
      <sz val="10"/>
      <name val="Arial"/>
      <family val="2"/>
    </font>
    <font>
      <sz val="11"/>
      <color rgb="FFFF0000"/>
      <name val="Aptos Narrow"/>
      <family val="2"/>
      <scheme val="minor"/>
    </font>
    <font>
      <sz val="11"/>
      <color rgb="FFFFFF00"/>
      <name val="Aptos Narrow"/>
      <family val="2"/>
      <scheme val="minor"/>
    </font>
    <font>
      <sz val="11"/>
      <color rgb="FFFFC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C2E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" fontId="5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readingOrder="2"/>
    </xf>
    <xf numFmtId="0" fontId="5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readingOrder="2"/>
    </xf>
    <xf numFmtId="2" fontId="8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readingOrder="2"/>
    </xf>
    <xf numFmtId="0" fontId="3" fillId="0" borderId="0" xfId="1"/>
    <xf numFmtId="164" fontId="0" fillId="0" borderId="1" xfId="0" applyNumberFormat="1" applyBorder="1" applyAlignment="1">
      <alignment horizontal="center"/>
    </xf>
    <xf numFmtId="0" fontId="0" fillId="5" borderId="3" xfId="0" applyFill="1" applyBorder="1"/>
    <xf numFmtId="0" fontId="0" fillId="0" borderId="3" xfId="0" applyBorder="1"/>
    <xf numFmtId="1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0" fillId="0" borderId="3" xfId="0" applyNumberFormat="1" applyBorder="1"/>
    <xf numFmtId="1" fontId="0" fillId="5" borderId="3" xfId="0" applyNumberFormat="1" applyFill="1" applyBorder="1"/>
    <xf numFmtId="166" fontId="0" fillId="3" borderId="1" xfId="0" applyNumberFormat="1" applyFill="1" applyBorder="1" applyAlignment="1">
      <alignment horizontal="center"/>
    </xf>
    <xf numFmtId="0" fontId="4" fillId="3" borderId="0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2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z val="10"/>
        <color rgb="FF232323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2"/>
    </dxf>
    <dxf>
      <alignment horizontal="center" vertical="bottom" textRotation="0" wrapText="0" indent="0" justifyLastLine="0" shrinkToFit="0" readingOrder="0"/>
    </dxf>
    <dxf>
      <font>
        <sz val="10"/>
        <color rgb="FF23232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rgb="FF212529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numFmt numFmtId="165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numFmt numFmtId="165" formatCode="[$-F800]dddd\,\ mmmm\ dd\,\ yyyy"/>
    </dxf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rgb="FF212529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BC2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CUSTOMERS!A1"/><Relationship Id="rId18" Type="http://schemas.openxmlformats.org/officeDocument/2006/relationships/image" Target="../media/image13.png"/><Relationship Id="rId3" Type="http://schemas.openxmlformats.org/officeDocument/2006/relationships/image" Target="../media/image2.svg"/><Relationship Id="rId7" Type="http://schemas.openxmlformats.org/officeDocument/2006/relationships/hyperlink" Target="#'SALES ORDER'!A1"/><Relationship Id="rId12" Type="http://schemas.openxmlformats.org/officeDocument/2006/relationships/image" Target="../media/image8.svg"/><Relationship Id="rId17" Type="http://schemas.openxmlformats.org/officeDocument/2006/relationships/image" Target="../media/image12.png"/><Relationship Id="rId2" Type="http://schemas.openxmlformats.org/officeDocument/2006/relationships/image" Target="../media/image1.png"/><Relationship Id="rId16" Type="http://schemas.openxmlformats.org/officeDocument/2006/relationships/image" Target="../media/image11.jpeg"/><Relationship Id="rId1" Type="http://schemas.openxmlformats.org/officeDocument/2006/relationships/hyperlink" Target="#INVENTORY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SUPPLIERS!A1"/><Relationship Id="rId4" Type="http://schemas.openxmlformats.org/officeDocument/2006/relationships/hyperlink" Target="#PURCHASES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NTORY!A1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5" Type="http://schemas.openxmlformats.org/officeDocument/2006/relationships/image" Target="../media/image16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PURCHAS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'SALES OR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hyperlink" Target="#SUPPLIER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CUSTOME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536138</xdr:colOff>
      <xdr:row>10</xdr:row>
      <xdr:rowOff>67782</xdr:rowOff>
    </xdr:from>
    <xdr:to>
      <xdr:col>9</xdr:col>
      <xdr:colOff>146540</xdr:colOff>
      <xdr:row>16</xdr:row>
      <xdr:rowOff>135286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C800650-B12B-A361-39E8-98147383989B}"/>
            </a:ext>
          </a:extLst>
        </xdr:cNvPr>
        <xdr:cNvGrpSpPr/>
      </xdr:nvGrpSpPr>
      <xdr:grpSpPr>
        <a:xfrm>
          <a:off x="5058442" y="1889956"/>
          <a:ext cx="902489" cy="1160808"/>
          <a:chOff x="4972953" y="2718023"/>
          <a:chExt cx="905776" cy="1153988"/>
        </a:xfrm>
        <a:solidFill>
          <a:schemeClr val="tx1">
            <a:lumMod val="95000"/>
            <a:lumOff val="5000"/>
          </a:schemeClr>
        </a:solidFill>
      </xdr:grpSpPr>
      <xdr:pic>
        <xdr:nvPicPr>
          <xdr:cNvPr id="3" name="Graphic 2" descr="Good Inventory outlin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D3442C1-E59A-4A10-A45D-46691C300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972953" y="2983104"/>
            <a:ext cx="889448" cy="88890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E9F55B9-6B6F-3380-53C0-A956996185BC}"/>
              </a:ext>
            </a:extLst>
          </xdr:cNvPr>
          <xdr:cNvSpPr txBox="1"/>
        </xdr:nvSpPr>
        <xdr:spPr>
          <a:xfrm>
            <a:off x="4979865" y="2718023"/>
            <a:ext cx="898864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solidFill>
                  <a:srgbClr val="0070C0"/>
                </a:solidFill>
              </a:rPr>
              <a:t>Inventory</a:t>
            </a:r>
            <a:endParaRPr lang="en-IL" sz="1400" b="1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7</xdr:col>
      <xdr:colOff>634881</xdr:colOff>
      <xdr:row>4</xdr:row>
      <xdr:rowOff>143983</xdr:rowOff>
    </xdr:from>
    <xdr:to>
      <xdr:col>9</xdr:col>
      <xdr:colOff>168155</xdr:colOff>
      <xdr:row>9</xdr:row>
      <xdr:rowOff>93060</xdr:rowOff>
    </xdr:to>
    <xdr:grpSp>
      <xdr:nvGrpSpPr>
        <xdr:cNvPr id="9" name="Group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6F92A7-02A0-8D19-36B9-C2FBE48522CF}"/>
            </a:ext>
          </a:extLst>
        </xdr:cNvPr>
        <xdr:cNvGrpSpPr/>
      </xdr:nvGrpSpPr>
      <xdr:grpSpPr>
        <a:xfrm>
          <a:off x="5157185" y="872853"/>
          <a:ext cx="825361" cy="860164"/>
          <a:chOff x="5334000" y="1266825"/>
          <a:chExt cx="828675" cy="852488"/>
        </a:xfrm>
      </xdr:grpSpPr>
      <xdr:pic>
        <xdr:nvPicPr>
          <xdr:cNvPr id="7" name="Graphic 6" descr="Register outline">
            <a:extLst>
              <a:ext uri="{FF2B5EF4-FFF2-40B4-BE49-F238E27FC236}">
                <a16:creationId xmlns:a16="http://schemas.microsoft.com/office/drawing/2014/main" id="{C266EF71-7E3D-754E-284A-D5CEAFC02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95912" y="1471613"/>
            <a:ext cx="647700" cy="647700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E8D9067-D404-47F8-A80C-DA29C6353E9D}"/>
              </a:ext>
            </a:extLst>
          </xdr:cNvPr>
          <xdr:cNvSpPr txBox="1"/>
        </xdr:nvSpPr>
        <xdr:spPr>
          <a:xfrm>
            <a:off x="5334000" y="1266825"/>
            <a:ext cx="828675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Purchases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5</xdr:col>
      <xdr:colOff>473861</xdr:colOff>
      <xdr:row>10</xdr:row>
      <xdr:rowOff>150209</xdr:rowOff>
    </xdr:from>
    <xdr:to>
      <xdr:col>7</xdr:col>
      <xdr:colOff>101145</xdr:colOff>
      <xdr:row>15</xdr:row>
      <xdr:rowOff>147912</xdr:rowOff>
    </xdr:to>
    <xdr:grpSp>
      <xdr:nvGrpSpPr>
        <xdr:cNvPr id="13" name="Group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B7FF2C-D793-B15A-E992-E467C8C1C899}"/>
            </a:ext>
          </a:extLst>
        </xdr:cNvPr>
        <xdr:cNvGrpSpPr/>
      </xdr:nvGrpSpPr>
      <xdr:grpSpPr>
        <a:xfrm>
          <a:off x="3704078" y="1972383"/>
          <a:ext cx="919371" cy="908790"/>
          <a:chOff x="3876260" y="2186609"/>
          <a:chExt cx="919370" cy="906082"/>
        </a:xfrm>
      </xdr:grpSpPr>
      <xdr:pic>
        <xdr:nvPicPr>
          <xdr:cNvPr id="11" name="Graphic 10" descr="Shopping cart outline">
            <a:extLst>
              <a:ext uri="{FF2B5EF4-FFF2-40B4-BE49-F238E27FC236}">
                <a16:creationId xmlns:a16="http://schemas.microsoft.com/office/drawing/2014/main" id="{F23F20E8-9ECD-629C-1015-744453E0C8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70889" y="2410861"/>
            <a:ext cx="675653" cy="68183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CDC6C1FE-BC48-4847-82EE-42478C92C39D}"/>
              </a:ext>
            </a:extLst>
          </xdr:cNvPr>
          <xdr:cNvSpPr txBox="1"/>
        </xdr:nvSpPr>
        <xdr:spPr>
          <a:xfrm>
            <a:off x="3876260" y="2186609"/>
            <a:ext cx="919370" cy="258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Sales Order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7</xdr:col>
      <xdr:colOff>515818</xdr:colOff>
      <xdr:row>17</xdr:row>
      <xdr:rowOff>102585</xdr:rowOff>
    </xdr:from>
    <xdr:to>
      <xdr:col>9</xdr:col>
      <xdr:colOff>106242</xdr:colOff>
      <xdr:row>22</xdr:row>
      <xdr:rowOff>167796</xdr:rowOff>
    </xdr:to>
    <xdr:grpSp>
      <xdr:nvGrpSpPr>
        <xdr:cNvPr id="17" name="Group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5E1815-6C07-785A-11BE-18A36CD017DE}"/>
            </a:ext>
          </a:extLst>
        </xdr:cNvPr>
        <xdr:cNvGrpSpPr/>
      </xdr:nvGrpSpPr>
      <xdr:grpSpPr>
        <a:xfrm>
          <a:off x="5038122" y="3200281"/>
          <a:ext cx="882511" cy="976298"/>
          <a:chOff x="5229225" y="3581400"/>
          <a:chExt cx="885825" cy="971551"/>
        </a:xfrm>
      </xdr:grpSpPr>
      <xdr:pic>
        <xdr:nvPicPr>
          <xdr:cNvPr id="15" name="Graphic 14" descr="Truck outline">
            <a:extLst>
              <a:ext uri="{FF2B5EF4-FFF2-40B4-BE49-F238E27FC236}">
                <a16:creationId xmlns:a16="http://schemas.microsoft.com/office/drawing/2014/main" id="{034DFAF9-0B63-E35C-4189-EAC1B65393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262562" y="3700463"/>
            <a:ext cx="852488" cy="852488"/>
          </a:xfrm>
          <a:prstGeom prst="rect">
            <a:avLst/>
          </a:prstGeom>
        </xdr:spPr>
      </xdr:pic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C3233647-F95B-4524-B09B-36953D12E353}"/>
              </a:ext>
            </a:extLst>
          </xdr:cNvPr>
          <xdr:cNvSpPr txBox="1"/>
        </xdr:nvSpPr>
        <xdr:spPr>
          <a:xfrm>
            <a:off x="5229225" y="3581400"/>
            <a:ext cx="781049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Suppliers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496767</xdr:colOff>
      <xdr:row>10</xdr:row>
      <xdr:rowOff>97823</xdr:rowOff>
    </xdr:from>
    <xdr:to>
      <xdr:col>11</xdr:col>
      <xdr:colOff>115768</xdr:colOff>
      <xdr:row>16</xdr:row>
      <xdr:rowOff>112110</xdr:rowOff>
    </xdr:to>
    <xdr:grpSp>
      <xdr:nvGrpSpPr>
        <xdr:cNvPr id="23" name="Group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06FC920-EEA3-B8E6-4B3F-7A79C985643B}"/>
            </a:ext>
          </a:extLst>
        </xdr:cNvPr>
        <xdr:cNvGrpSpPr/>
      </xdr:nvGrpSpPr>
      <xdr:grpSpPr>
        <a:xfrm>
          <a:off x="6311158" y="1919997"/>
          <a:ext cx="911088" cy="1107591"/>
          <a:chOff x="6505575" y="2309813"/>
          <a:chExt cx="914400" cy="1100137"/>
        </a:xfrm>
      </xdr:grpSpPr>
      <xdr:pic>
        <xdr:nvPicPr>
          <xdr:cNvPr id="21" name="Graphic 20" descr="Target Audience outline">
            <a:extLst>
              <a:ext uri="{FF2B5EF4-FFF2-40B4-BE49-F238E27FC236}">
                <a16:creationId xmlns:a16="http://schemas.microsoft.com/office/drawing/2014/main" id="{AB60AF45-F623-EA4F-495C-C370A0CB40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6505575" y="2495550"/>
            <a:ext cx="914400" cy="914400"/>
          </a:xfrm>
          <a:prstGeom prst="rect">
            <a:avLst/>
          </a:prstGeom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D64E3AD-74DA-4BFF-9B06-ED16409ECF53}"/>
              </a:ext>
            </a:extLst>
          </xdr:cNvPr>
          <xdr:cNvSpPr txBox="1"/>
        </xdr:nvSpPr>
        <xdr:spPr>
          <a:xfrm>
            <a:off x="6586537" y="2309813"/>
            <a:ext cx="776288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Customers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33131</xdr:colOff>
      <xdr:row>0</xdr:row>
      <xdr:rowOff>80282</xdr:rowOff>
    </xdr:from>
    <xdr:to>
      <xdr:col>12</xdr:col>
      <xdr:colOff>492815</xdr:colOff>
      <xdr:row>3</xdr:row>
      <xdr:rowOff>41411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E0D3B5D-4771-42F4-9E23-E672F97CACE5}"/>
            </a:ext>
          </a:extLst>
        </xdr:cNvPr>
        <xdr:cNvSpPr txBox="1"/>
      </xdr:nvSpPr>
      <xdr:spPr>
        <a:xfrm>
          <a:off x="2617305" y="80282"/>
          <a:ext cx="5628032" cy="50778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1"/>
          <a:r>
            <a:rPr lang="he-IL" sz="2400" b="1">
              <a:solidFill>
                <a:schemeClr val="tx1"/>
              </a:solidFill>
              <a:latin typeface="David" panose="020E0502060401010101" pitchFamily="34" charset="-79"/>
              <a:cs typeface="David" panose="020E0502060401010101" pitchFamily="34" charset="-79"/>
            </a:rPr>
            <a:t> מערכת ניהול מלאי חכמה מבוססת תוכנת אקסל</a:t>
          </a:r>
          <a:endParaRPr lang="en-IL" sz="2400" b="1">
            <a:solidFill>
              <a:schemeClr val="tx1"/>
            </a:solidFill>
            <a:latin typeface="David" panose="020E0502060401010101" pitchFamily="34" charset="-79"/>
            <a:cs typeface="David" panose="020E0502060401010101" pitchFamily="34" charset="-79"/>
          </a:endParaRPr>
        </a:p>
      </xdr:txBody>
    </xdr:sp>
    <xdr:clientData/>
  </xdr:twoCellAnchor>
  <xdr:twoCellAnchor>
    <xdr:from>
      <xdr:col>9</xdr:col>
      <xdr:colOff>326048</xdr:colOff>
      <xdr:row>6</xdr:row>
      <xdr:rowOff>65949</xdr:rowOff>
    </xdr:from>
    <xdr:to>
      <xdr:col>10</xdr:col>
      <xdr:colOff>527539</xdr:colOff>
      <xdr:row>9</xdr:row>
      <xdr:rowOff>98918</xdr:rowOff>
    </xdr:to>
    <xdr:sp macro="" textlink="">
      <xdr:nvSpPr>
        <xdr:cNvPr id="36" name="Arrow: Bent 35">
          <a:extLst>
            <a:ext uri="{FF2B5EF4-FFF2-40B4-BE49-F238E27FC236}">
              <a16:creationId xmlns:a16="http://schemas.microsoft.com/office/drawing/2014/main" id="{FD7E10C6-72D0-45AA-B316-716B29CA325F}"/>
            </a:ext>
          </a:extLst>
        </xdr:cNvPr>
        <xdr:cNvSpPr/>
      </xdr:nvSpPr>
      <xdr:spPr>
        <a:xfrm rot="5400000">
          <a:off x="6301156" y="1003794"/>
          <a:ext cx="571498" cy="849923"/>
        </a:xfrm>
        <a:prstGeom prst="bentArrow">
          <a:avLst>
            <a:gd name="adj1" fmla="val 29065"/>
            <a:gd name="adj2" fmla="val 24187"/>
            <a:gd name="adj3" fmla="val 25000"/>
            <a:gd name="adj4" fmla="val 43750"/>
          </a:avLst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329713</xdr:colOff>
      <xdr:row>17</xdr:row>
      <xdr:rowOff>179507</xdr:rowOff>
    </xdr:from>
    <xdr:to>
      <xdr:col>10</xdr:col>
      <xdr:colOff>520213</xdr:colOff>
      <xdr:row>21</xdr:row>
      <xdr:rowOff>84259</xdr:rowOff>
    </xdr:to>
    <xdr:sp macro="" textlink="">
      <xdr:nvSpPr>
        <xdr:cNvPr id="37" name="Arrow: Bent 36">
          <a:extLst>
            <a:ext uri="{FF2B5EF4-FFF2-40B4-BE49-F238E27FC236}">
              <a16:creationId xmlns:a16="http://schemas.microsoft.com/office/drawing/2014/main" id="{2995C900-28BA-4C78-8321-22E02BCE63E6}"/>
            </a:ext>
          </a:extLst>
        </xdr:cNvPr>
        <xdr:cNvSpPr/>
      </xdr:nvSpPr>
      <xdr:spPr>
        <a:xfrm rot="10800000">
          <a:off x="6165608" y="3231171"/>
          <a:ext cx="838932" cy="622790"/>
        </a:xfrm>
        <a:prstGeom prst="bentArrow">
          <a:avLst>
            <a:gd name="adj1" fmla="val 25000"/>
            <a:gd name="adj2" fmla="val 24432"/>
            <a:gd name="adj3" fmla="val 25000"/>
            <a:gd name="adj4" fmla="val 43750"/>
          </a:avLst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183175</xdr:colOff>
      <xdr:row>6</xdr:row>
      <xdr:rowOff>10990</xdr:rowOff>
    </xdr:from>
    <xdr:to>
      <xdr:col>7</xdr:col>
      <xdr:colOff>373674</xdr:colOff>
      <xdr:row>9</xdr:row>
      <xdr:rowOff>95251</xdr:rowOff>
    </xdr:to>
    <xdr:sp macro="" textlink="">
      <xdr:nvSpPr>
        <xdr:cNvPr id="38" name="Arrow: Bent 37">
          <a:extLst>
            <a:ext uri="{FF2B5EF4-FFF2-40B4-BE49-F238E27FC236}">
              <a16:creationId xmlns:a16="http://schemas.microsoft.com/office/drawing/2014/main" id="{B5F1FB9F-6EC6-43ED-B147-EEE584D04B77}"/>
            </a:ext>
          </a:extLst>
        </xdr:cNvPr>
        <xdr:cNvSpPr/>
      </xdr:nvSpPr>
      <xdr:spPr>
        <a:xfrm>
          <a:off x="4073771" y="1088048"/>
          <a:ext cx="838932" cy="622790"/>
        </a:xfrm>
        <a:prstGeom prst="bentArrow">
          <a:avLst>
            <a:gd name="adj1" fmla="val 25000"/>
            <a:gd name="adj2" fmla="val 24432"/>
            <a:gd name="adj3" fmla="val 25000"/>
            <a:gd name="adj4" fmla="val 43750"/>
          </a:avLst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73270</xdr:colOff>
      <xdr:row>17</xdr:row>
      <xdr:rowOff>102577</xdr:rowOff>
    </xdr:from>
    <xdr:to>
      <xdr:col>7</xdr:col>
      <xdr:colOff>274760</xdr:colOff>
      <xdr:row>20</xdr:row>
      <xdr:rowOff>135547</xdr:rowOff>
    </xdr:to>
    <xdr:sp macro="" textlink="">
      <xdr:nvSpPr>
        <xdr:cNvPr id="39" name="Arrow: Bent 38">
          <a:extLst>
            <a:ext uri="{FF2B5EF4-FFF2-40B4-BE49-F238E27FC236}">
              <a16:creationId xmlns:a16="http://schemas.microsoft.com/office/drawing/2014/main" id="{4C87A3F5-D985-4047-B421-5ED18E3A68A6}"/>
            </a:ext>
          </a:extLst>
        </xdr:cNvPr>
        <xdr:cNvSpPr/>
      </xdr:nvSpPr>
      <xdr:spPr>
        <a:xfrm rot="16200000">
          <a:off x="4103079" y="3015028"/>
          <a:ext cx="571498" cy="849923"/>
        </a:xfrm>
        <a:prstGeom prst="bentArrow">
          <a:avLst>
            <a:gd name="adj1" fmla="val 29065"/>
            <a:gd name="adj2" fmla="val 24187"/>
            <a:gd name="adj3" fmla="val 25000"/>
            <a:gd name="adj4" fmla="val 43750"/>
          </a:avLst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13</xdr:row>
      <xdr:rowOff>182216</xdr:rowOff>
    </xdr:from>
    <xdr:to>
      <xdr:col>5</xdr:col>
      <xdr:colOff>236055</xdr:colOff>
      <xdr:row>24</xdr:row>
      <xdr:rowOff>41412</xdr:rowOff>
    </xdr:to>
    <xdr:sp macro="" textlink="">
      <xdr:nvSpPr>
        <xdr:cNvPr id="2" name="TextBox 7">
          <a:extLst>
            <a:ext uri="{FF2B5EF4-FFF2-40B4-BE49-F238E27FC236}">
              <a16:creationId xmlns:a16="http://schemas.microsoft.com/office/drawing/2014/main" id="{43E98F62-3F20-1A76-E1F1-704D29651BD1}"/>
            </a:ext>
          </a:extLst>
        </xdr:cNvPr>
        <xdr:cNvSpPr txBox="1"/>
      </xdr:nvSpPr>
      <xdr:spPr>
        <a:xfrm>
          <a:off x="0" y="2551042"/>
          <a:ext cx="3466272" cy="1863587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85750" indent="-285750" algn="r" rtl="1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he-IL">
              <a:latin typeface="David" panose="020E0502060401010101" pitchFamily="34" charset="-79"/>
              <a:cs typeface="David" panose="020E0502060401010101" pitchFamily="34" charset="-79"/>
            </a:rPr>
            <a:t>מנחה אקדמי: מר אברהם מורדוך</a:t>
          </a:r>
        </a:p>
        <a:p>
          <a:pPr marL="285750" indent="-285750" algn="r" rtl="1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he-IL">
              <a:latin typeface="David" panose="020E0502060401010101" pitchFamily="34" charset="-79"/>
              <a:cs typeface="David" panose="020E0502060401010101" pitchFamily="34" charset="-79"/>
            </a:rPr>
            <a:t>סטודנט: עאדל קאלותי</a:t>
          </a:r>
        </a:p>
        <a:p>
          <a:pPr marL="285750" indent="-285750" algn="r" rtl="1">
            <a:lnSpc>
              <a:spcPct val="150000"/>
            </a:lnSpc>
            <a:buFont typeface="Arial" panose="020B0604020202020204" pitchFamily="34" charset="0"/>
            <a:buChar char="•"/>
          </a:pPr>
          <a:r>
            <a:rPr kumimoji="0" lang="he-IL" sz="1800" b="0" i="0" u="none" strike="noStrike" kern="1200" cap="none" spc="0" normalizeH="0" baseline="0">
              <a:ln>
                <a:noFill/>
              </a:ln>
              <a:effectLst/>
              <a:uLnTx/>
              <a:uFillTx/>
              <a:latin typeface="David" panose="020E0502060401010101" pitchFamily="34" charset="-79"/>
              <a:cs typeface="David" panose="020E0502060401010101" pitchFamily="34" charset="-79"/>
            </a:rPr>
            <a:t>מוסד אקדמי: עזריאלי מכללה אקדמית להנדסה</a:t>
          </a:r>
        </a:p>
        <a:p>
          <a:pPr marL="285750" indent="-285750" algn="r" rtl="1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he-IL">
              <a:latin typeface="David" panose="020E0502060401010101" pitchFamily="34" charset="-79"/>
              <a:cs typeface="David" panose="020E0502060401010101" pitchFamily="34" charset="-79"/>
            </a:rPr>
            <a:t>המחלקה להנדסת תעשייה וניהול</a:t>
          </a:r>
          <a:endParaRPr kumimoji="0" lang="en-US" sz="1800" b="0" i="0" u="none" strike="noStrike" kern="1200" cap="none" spc="0" normalizeH="0" baseline="0">
            <a:ln>
              <a:noFill/>
            </a:ln>
            <a:effectLst/>
            <a:uLnTx/>
            <a:uFillTx/>
            <a:latin typeface="David" panose="020E0502060401010101" pitchFamily="34" charset="-79"/>
            <a:cs typeface="David" panose="020E0502060401010101" pitchFamily="34" charset="-79"/>
          </a:endParaRPr>
        </a:p>
      </xdr:txBody>
    </xdr:sp>
    <xdr:clientData/>
  </xdr:twoCellAnchor>
  <xdr:twoCellAnchor editAs="oneCell">
    <xdr:from>
      <xdr:col>12</xdr:col>
      <xdr:colOff>155423</xdr:colOff>
      <xdr:row>4</xdr:row>
      <xdr:rowOff>131058</xdr:rowOff>
    </xdr:from>
    <xdr:to>
      <xdr:col>17</xdr:col>
      <xdr:colOff>224940</xdr:colOff>
      <xdr:row>22</xdr:row>
      <xdr:rowOff>74543</xdr:rowOff>
    </xdr:to>
    <xdr:pic>
      <xdr:nvPicPr>
        <xdr:cNvPr id="6" name="Picture 5" descr="A person holding a clipboard and a container">
          <a:extLst>
            <a:ext uri="{FF2B5EF4-FFF2-40B4-BE49-F238E27FC236}">
              <a16:creationId xmlns:a16="http://schemas.microsoft.com/office/drawing/2014/main" id="{88807BC1-43F2-D0CB-F77F-F04C91B5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7945" y="859928"/>
          <a:ext cx="3299734" cy="3223398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0</xdr:col>
      <xdr:colOff>579782</xdr:colOff>
      <xdr:row>8</xdr:row>
      <xdr:rowOff>107674</xdr:rowOff>
    </xdr:from>
    <xdr:to>
      <xdr:col>4</xdr:col>
      <xdr:colOff>534228</xdr:colOff>
      <xdr:row>13</xdr:row>
      <xdr:rowOff>78685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4F8AD23-B47F-6E92-C2BF-05119972A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782" y="1565413"/>
          <a:ext cx="2538620" cy="88209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3</xdr:row>
      <xdr:rowOff>136664</xdr:rowOff>
    </xdr:from>
    <xdr:to>
      <xdr:col>6</xdr:col>
      <xdr:colOff>4141</xdr:colOff>
      <xdr:row>8</xdr:row>
      <xdr:rowOff>54252</xdr:rowOff>
    </xdr:to>
    <xdr:pic>
      <xdr:nvPicPr>
        <xdr:cNvPr id="14" name="תמונה 1" descr="תמונה שמכילה טקסט, גופן, גרפיקה, לוגו&#10;&#10;התיאור נוצר באופן אוטומטי">
          <a:extLst>
            <a:ext uri="{FF2B5EF4-FFF2-40B4-BE49-F238E27FC236}">
              <a16:creationId xmlns:a16="http://schemas.microsoft.com/office/drawing/2014/main" id="{5863C064-2CC2-257A-B172-1C77035A8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3316"/>
          <a:ext cx="3880402" cy="8286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538368</xdr:colOff>
      <xdr:row>0</xdr:row>
      <xdr:rowOff>78685</xdr:rowOff>
    </xdr:from>
    <xdr:to>
      <xdr:col>11</xdr:col>
      <xdr:colOff>368576</xdr:colOff>
      <xdr:row>4</xdr:row>
      <xdr:rowOff>173935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20CB75F-D3AD-95F8-0FC6-F27AE3F2979A}"/>
            </a:ext>
          </a:extLst>
        </xdr:cNvPr>
        <xdr:cNvGrpSpPr/>
      </xdr:nvGrpSpPr>
      <xdr:grpSpPr>
        <a:xfrm>
          <a:off x="10702103" y="78685"/>
          <a:ext cx="1763224" cy="812426"/>
          <a:chOff x="7131325" y="78685"/>
          <a:chExt cx="1590262" cy="824120"/>
        </a:xfrm>
      </xdr:grpSpPr>
      <xdr:pic macro="[0]!CalculateInStock">
        <xdr:nvPicPr>
          <xdr:cNvPr id="3" name="Graphic 2" descr="Repeat with solid fill">
            <a:extLst>
              <a:ext uri="{FF2B5EF4-FFF2-40B4-BE49-F238E27FC236}">
                <a16:creationId xmlns:a16="http://schemas.microsoft.com/office/drawing/2014/main" id="{DDF62E36-EB5E-7347-9C35-9E6531D14F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545455" y="78685"/>
            <a:ext cx="592205" cy="592205"/>
          </a:xfrm>
          <a:prstGeom prst="rect">
            <a:avLst/>
          </a:prstGeom>
        </xdr:spPr>
      </xdr:pic>
      <xdr:sp macro="[0]!CalculateInStock" textlink="">
        <xdr:nvSpPr>
          <xdr:cNvPr id="4" name="TextBox 3">
            <a:extLst>
              <a:ext uri="{FF2B5EF4-FFF2-40B4-BE49-F238E27FC236}">
                <a16:creationId xmlns:a16="http://schemas.microsoft.com/office/drawing/2014/main" id="{DC9D2807-581F-8E40-AECD-E0885702FE48}"/>
              </a:ext>
            </a:extLst>
          </xdr:cNvPr>
          <xdr:cNvSpPr txBox="1"/>
        </xdr:nvSpPr>
        <xdr:spPr>
          <a:xfrm>
            <a:off x="7131325" y="588065"/>
            <a:ext cx="1590262" cy="3147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/>
              <a:t>Refresh Inventory</a:t>
            </a:r>
            <a:endParaRPr lang="en-IL" sz="1400" b="1"/>
          </a:p>
        </xdr:txBody>
      </xdr:sp>
    </xdr:grpSp>
    <xdr:clientData/>
  </xdr:twoCellAnchor>
  <xdr:twoCellAnchor>
    <xdr:from>
      <xdr:col>0</xdr:col>
      <xdr:colOff>53837</xdr:colOff>
      <xdr:row>0</xdr:row>
      <xdr:rowOff>0</xdr:rowOff>
    </xdr:from>
    <xdr:to>
      <xdr:col>1</xdr:col>
      <xdr:colOff>37594</xdr:colOff>
      <xdr:row>6</xdr:row>
      <xdr:rowOff>51258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57A126B-E73E-4782-BCD4-5D6A6FD097A9}"/>
            </a:ext>
          </a:extLst>
        </xdr:cNvPr>
        <xdr:cNvGrpSpPr/>
      </xdr:nvGrpSpPr>
      <xdr:grpSpPr>
        <a:xfrm>
          <a:off x="53837" y="0"/>
          <a:ext cx="986684" cy="1127023"/>
          <a:chOff x="4972953" y="2718023"/>
          <a:chExt cx="905776" cy="1153988"/>
        </a:xfrm>
        <a:solidFill>
          <a:schemeClr val="tx1">
            <a:lumMod val="95000"/>
            <a:lumOff val="5000"/>
          </a:schemeClr>
        </a:solidFill>
      </xdr:grpSpPr>
      <xdr:pic>
        <xdr:nvPicPr>
          <xdr:cNvPr id="7" name="Graphic 6" descr="Good Inventory outlin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CA79028-E35D-D74F-C2AD-5523A2E497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972953" y="2983104"/>
            <a:ext cx="889448" cy="888907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1DA9F2DE-D5B6-DB9E-ADC2-B2ED59D57591}"/>
              </a:ext>
            </a:extLst>
          </xdr:cNvPr>
          <xdr:cNvSpPr txBox="1"/>
        </xdr:nvSpPr>
        <xdr:spPr>
          <a:xfrm>
            <a:off x="4979865" y="2718023"/>
            <a:ext cx="898864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solidFill>
                  <a:schemeClr val="accent3"/>
                </a:solidFill>
              </a:rPr>
              <a:t>Inventory</a:t>
            </a:r>
            <a:endParaRPr lang="en-IL" sz="1400" b="1">
              <a:solidFill>
                <a:schemeClr val="accent3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212480</xdr:colOff>
      <xdr:row>1</xdr:row>
      <xdr:rowOff>58616</xdr:rowOff>
    </xdr:from>
    <xdr:to>
      <xdr:col>7</xdr:col>
      <xdr:colOff>1042620</xdr:colOff>
      <xdr:row>5</xdr:row>
      <xdr:rowOff>161192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E0C2ED-5117-471E-A0D7-96CA0E39B329}"/>
            </a:ext>
          </a:extLst>
        </xdr:cNvPr>
        <xdr:cNvGrpSpPr/>
      </xdr:nvGrpSpPr>
      <xdr:grpSpPr>
        <a:xfrm>
          <a:off x="6719041" y="239263"/>
          <a:ext cx="830140" cy="825162"/>
          <a:chOff x="5334000" y="1266825"/>
          <a:chExt cx="828675" cy="852488"/>
        </a:xfrm>
      </xdr:grpSpPr>
      <xdr:pic>
        <xdr:nvPicPr>
          <xdr:cNvPr id="3" name="Graphic 2" descr="Register outline">
            <a:extLst>
              <a:ext uri="{FF2B5EF4-FFF2-40B4-BE49-F238E27FC236}">
                <a16:creationId xmlns:a16="http://schemas.microsoft.com/office/drawing/2014/main" id="{DD1F46A6-AF14-61CC-B5E4-3DD8657009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395912" y="1471613"/>
            <a:ext cx="647700" cy="64770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4C16425-48D9-E11F-4A87-D07D4566CEF8}"/>
              </a:ext>
            </a:extLst>
          </xdr:cNvPr>
          <xdr:cNvSpPr txBox="1"/>
        </xdr:nvSpPr>
        <xdr:spPr>
          <a:xfrm>
            <a:off x="5334000" y="1266825"/>
            <a:ext cx="828675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Purchases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206923</xdr:colOff>
      <xdr:row>0</xdr:row>
      <xdr:rowOff>52552</xdr:rowOff>
    </xdr:from>
    <xdr:to>
      <xdr:col>5</xdr:col>
      <xdr:colOff>484029</xdr:colOff>
      <xdr:row>2</xdr:row>
      <xdr:rowOff>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2F2F94-7B9D-41B7-A3CD-41FAFE9FBF01}"/>
            </a:ext>
          </a:extLst>
        </xdr:cNvPr>
        <xdr:cNvGrpSpPr/>
      </xdr:nvGrpSpPr>
      <xdr:grpSpPr>
        <a:xfrm>
          <a:off x="4573769" y="52552"/>
          <a:ext cx="925539" cy="306467"/>
          <a:chOff x="3876260" y="2186609"/>
          <a:chExt cx="919370" cy="906082"/>
        </a:xfrm>
      </xdr:grpSpPr>
      <xdr:pic>
        <xdr:nvPicPr>
          <xdr:cNvPr id="3" name="Graphic 2" descr="Shopping cart outline">
            <a:extLst>
              <a:ext uri="{FF2B5EF4-FFF2-40B4-BE49-F238E27FC236}">
                <a16:creationId xmlns:a16="http://schemas.microsoft.com/office/drawing/2014/main" id="{1CF95B86-3643-68E7-2151-6E6717951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970889" y="2410861"/>
            <a:ext cx="675653" cy="68183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AF1C5D5-1494-0A77-F34E-BC17C38A2FAB}"/>
              </a:ext>
            </a:extLst>
          </xdr:cNvPr>
          <xdr:cNvSpPr txBox="1"/>
        </xdr:nvSpPr>
        <xdr:spPr>
          <a:xfrm>
            <a:off x="3876260" y="2186609"/>
            <a:ext cx="919370" cy="258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Sales Order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267891</xdr:colOff>
      <xdr:row>0</xdr:row>
      <xdr:rowOff>86321</xdr:rowOff>
    </xdr:from>
    <xdr:to>
      <xdr:col>5</xdr:col>
      <xdr:colOff>506290</xdr:colOff>
      <xdr:row>2</xdr:row>
      <xdr:rowOff>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6AA989-50D6-44AE-B4ED-558590F4FE61}"/>
            </a:ext>
          </a:extLst>
        </xdr:cNvPr>
        <xdr:cNvGrpSpPr/>
      </xdr:nvGrpSpPr>
      <xdr:grpSpPr>
        <a:xfrm>
          <a:off x="3652243" y="86321"/>
          <a:ext cx="887290" cy="276820"/>
          <a:chOff x="5229225" y="3581400"/>
          <a:chExt cx="885825" cy="971551"/>
        </a:xfrm>
      </xdr:grpSpPr>
      <xdr:pic>
        <xdr:nvPicPr>
          <xdr:cNvPr id="3" name="Graphic 2" descr="Truck outline">
            <a:extLst>
              <a:ext uri="{FF2B5EF4-FFF2-40B4-BE49-F238E27FC236}">
                <a16:creationId xmlns:a16="http://schemas.microsoft.com/office/drawing/2014/main" id="{82743F5C-EFF6-7938-C136-D2FCA83E04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262562" y="3700463"/>
            <a:ext cx="852488" cy="852488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6510CE-40A8-DB98-D113-4691B8B32774}"/>
              </a:ext>
            </a:extLst>
          </xdr:cNvPr>
          <xdr:cNvSpPr txBox="1"/>
        </xdr:nvSpPr>
        <xdr:spPr>
          <a:xfrm>
            <a:off x="5229225" y="3581400"/>
            <a:ext cx="781049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Suppliers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217289</xdr:colOff>
      <xdr:row>0</xdr:row>
      <xdr:rowOff>35719</xdr:rowOff>
    </xdr:from>
    <xdr:to>
      <xdr:col>5</xdr:col>
      <xdr:colOff>484264</xdr:colOff>
      <xdr:row>5</xdr:row>
      <xdr:rowOff>26788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F8B392-0915-4741-99E5-7A9DF86C24E5}"/>
            </a:ext>
          </a:extLst>
        </xdr:cNvPr>
        <xdr:cNvGrpSpPr/>
      </xdr:nvGrpSpPr>
      <xdr:grpSpPr>
        <a:xfrm>
          <a:off x="4408289" y="35719"/>
          <a:ext cx="915866" cy="898921"/>
          <a:chOff x="6505575" y="2309813"/>
          <a:chExt cx="914400" cy="1100137"/>
        </a:xfrm>
      </xdr:grpSpPr>
      <xdr:pic>
        <xdr:nvPicPr>
          <xdr:cNvPr id="3" name="Graphic 2" descr="Target Audience outline">
            <a:extLst>
              <a:ext uri="{FF2B5EF4-FFF2-40B4-BE49-F238E27FC236}">
                <a16:creationId xmlns:a16="http://schemas.microsoft.com/office/drawing/2014/main" id="{00C4EF60-BDDB-2AF7-E274-36B28E314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505575" y="2495550"/>
            <a:ext cx="914400" cy="91440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B6C1A621-F9BF-485C-6566-B463DA72163E}"/>
              </a:ext>
            </a:extLst>
          </xdr:cNvPr>
          <xdr:cNvSpPr txBox="1"/>
        </xdr:nvSpPr>
        <xdr:spPr>
          <a:xfrm>
            <a:off x="6586537" y="2309813"/>
            <a:ext cx="776288" cy="257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/>
                </a:solidFill>
              </a:rPr>
              <a:t>Customers</a:t>
            </a:r>
            <a:endParaRPr lang="en-IL" sz="1100" b="1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A63FFB-9F75-4C97-8F85-2D722D9F36BE}" name="Table1" displayName="Table1" ref="C7:K56" totalsRowShown="0" headerRowDxfId="23" dataDxfId="21" headerRowBorderDxfId="22">
  <autoFilter ref="C7:K56" xr:uid="{44A63FFB-9F75-4C97-8F85-2D722D9F36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C8:K56">
    <sortCondition ref="C8:C56"/>
  </sortState>
  <tableColumns count="9">
    <tableColumn id="1" xr3:uid="{C29E961C-56CC-46F6-BFE0-B0B5A2C380AB}" name="מק&quot;ט" dataDxfId="20"/>
    <tableColumn id="2" xr3:uid="{94078450-4805-4FF0-8655-75649624567D}" name="שם מוצר" dataDxfId="19">
      <calculatedColumnFormula>_xlfn.XLOOKUP(Table1[[#This Row],[מק"ט]],PRODUCTS!A:A,PRODUCTS!B:B,"")</calculatedColumnFormula>
    </tableColumn>
    <tableColumn id="3" xr3:uid="{31AF7203-D92D-47D3-9F68-951A987DF698}" name="כמות במלאי" dataDxfId="18"/>
    <tableColumn id="10" xr3:uid="{95FC9267-138D-4366-944D-6A9FF9CE9C18}" name="זמן אספקה" dataDxfId="17">
      <calculatedColumnFormula>_xlfn.XLOOKUP(_xlfn.XLOOKUP(Table1[[#This Row],[מק"ט]],PRODUCTS!A:A,PRODUCTS!E:E,""),SUPPLIERS!A:A,SUPPLIERS!C:C,"")</calculatedColumnFormula>
    </tableColumn>
    <tableColumn id="9" xr3:uid="{4E9EFBA2-3A19-4B4E-A56C-6DA65A0F9230}" name="עלות ההזמנה" dataDxfId="16">
      <calculatedColumnFormula>_xlfn.XLOOKUP(_xlfn.XLOOKUP(Table1[[#This Row],[מק"ט]],PRODUCTS!A:A,PRODUCTS!E:E,""),SUPPLIERS!A:A,SUPPLIERS!D:D,"")</calculatedColumnFormula>
    </tableColumn>
    <tableColumn id="4" xr3:uid="{3B19240C-AA8C-4D6C-A710-5E951C7BBE0B}" name="Predicted_Demand (Daily)" dataDxfId="15"/>
    <tableColumn id="5" xr3:uid="{3C1357FB-0A02-4C86-A70C-B8C269359595}" name="Reorder Point" dataDxfId="14">
      <calculatedColumnFormula>Table1[[#This Row],[Predicted_Demand (Daily)]]*Table1[[#This Row],[זמן אספקה]]+1.65*6</calculatedColumnFormula>
    </tableColumn>
    <tableColumn id="6" xr3:uid="{37B2A6B7-9CE7-45D1-87ED-651A2D42665A}" name="Order Quantity" dataDxfId="13">
      <calculatedColumnFormula>INT(SQRT((2*365*Table1[[#This Row],[Predicted_Demand (Daily)]]*Table1[[#This Row],[עלות ההזמנה]])/(_xlfn.XLOOKUP(C:C,PRODUCTS!A:A,PRODUCTS!F:F))))</calculatedColumnFormula>
    </tableColumn>
    <tableColumn id="7" xr3:uid="{2312F394-C0D6-4D08-9623-B2B773F47EA4}" name="Alert" dataDxfId="12">
      <calculatedColumnFormula>IF(Table1[[#This Row],[כמות במלאי]]&gt;Table1[[#This Row],[Reorder Point]],"Ok","Reorder")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FC1359-A53A-41A3-9922-009D14045421}" name="Table5" displayName="Table5" ref="A1:D160" totalsRowShown="0">
  <autoFilter ref="A1:D160" xr:uid="{EAFC1359-A53A-41A3-9922-009D14045421}">
    <filterColumn colId="0" hiddenButton="1"/>
    <filterColumn colId="1" hiddenButton="1"/>
    <filterColumn colId="2" hiddenButton="1"/>
    <filterColumn colId="3" hiddenButton="1"/>
  </autoFilter>
  <tableColumns count="4">
    <tableColumn id="2" xr3:uid="{5BFCD72C-CC9C-4971-A5DE-5A4680EE0425}" name="Purchase Date" dataDxfId="11"/>
    <tableColumn id="3" xr3:uid="{35387314-A698-4285-AECE-AB86E1C97692}" name="Product Id" dataDxfId="10"/>
    <tableColumn id="4" xr3:uid="{A0050FC5-7064-43CB-986E-D6B594D87FF3}" name="Supplier Id">
      <calculatedColumnFormula>_xlfn.XLOOKUP(B:B,PRODUCTS!A:A,PRODUCTS!E:E,"")</calculatedColumnFormula>
    </tableColumn>
    <tableColumn id="5" xr3:uid="{876448D9-839E-4846-8928-87DB19EF644B}" name="Order Quant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8A168E-9186-4D88-8279-D4DA2B4D2DB1}" name="Table6" displayName="Table6" ref="A1:D2402" totalsRowShown="0">
  <autoFilter ref="A1:D2402" xr:uid="{288A168E-9186-4D88-8279-D4DA2B4D2DB1}">
    <filterColumn colId="0" hiddenButton="1"/>
    <filterColumn colId="1" hiddenButton="1"/>
    <filterColumn colId="2" hiddenButton="1"/>
    <filterColumn colId="3" hiddenButton="1"/>
  </autoFilter>
  <tableColumns count="4">
    <tableColumn id="2" xr3:uid="{FB8091B7-D3DB-465C-9C62-36A4FBD0CC2E}" name="Order Date" dataDxfId="9"/>
    <tableColumn id="3" xr3:uid="{1A84FE6D-13C4-414A-888D-A3186ADB49CD}" name="Product Id" dataDxfId="8"/>
    <tableColumn id="4" xr3:uid="{01874A2A-95EE-48F3-9F0B-A52583D37ADF}" name="Customer Id"/>
    <tableColumn id="5" xr3:uid="{C006E600-4E72-4448-8E8D-AE9F4573974D}" name="Sale Quantity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692B92-D571-4412-A697-77C144996965}" name="Table2" displayName="Table2" ref="A1:F53" totalsRowShown="0" headerRowDxfId="7" dataDxfId="6">
  <autoFilter ref="A1:F53" xr:uid="{EE692B92-D571-4412-A697-77C1449969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3EC8BBC-B1F0-428F-B3AA-55B9CD3724FF}" name="Product Id" dataDxfId="5"/>
    <tableColumn id="2" xr3:uid="{6852B77D-FB75-4F9E-A36B-1894F8383515}" name="Product Name" dataDxfId="4"/>
    <tableColumn id="3" xr3:uid="{2EDE67F2-CB62-4E5D-9583-156ACBE0DC37}" name="Cost Price " dataDxfId="3"/>
    <tableColumn id="4" xr3:uid="{F343B04F-30EB-47A5-B490-ADC2FBD42866}" name="Sale Price" dataDxfId="2"/>
    <tableColumn id="5" xr3:uid="{295F014B-4301-4344-9442-D9928878CBB0}" name="Supplier Id" dataDxfId="1"/>
    <tableColumn id="6" xr3:uid="{1A2AEF7D-3039-45EA-B0A3-D1BE4060C4B0}" name="Holding cost (per unit)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DEF7B5-F8D3-46D8-A645-01765633689D}" name="Table4" displayName="Table4" ref="A1:D4" totalsRowShown="0">
  <autoFilter ref="A1:D4" xr:uid="{07DEF7B5-F8D3-46D8-A645-01765633689D}">
    <filterColumn colId="0" hiddenButton="1"/>
    <filterColumn colId="1" hiddenButton="1"/>
    <filterColumn colId="2" hiddenButton="1"/>
    <filterColumn colId="3" hiddenButton="1"/>
  </autoFilter>
  <tableColumns count="4">
    <tableColumn id="1" xr3:uid="{0A7E0FEF-EED8-4AE7-8CB1-F8C29BFFE2E8}" name="Supplier Id"/>
    <tableColumn id="2" xr3:uid="{9AC63937-A919-4A34-A434-974518284759}" name="Supplier Name"/>
    <tableColumn id="6" xr3:uid="{39F0C40A-8B7A-463C-8AC9-C662CCC12C02}" name="Lead Time"/>
    <tableColumn id="7" xr3:uid="{2891FAB0-3C19-4E42-ADBF-7D50076EB2A9}" name="Ordering Co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F90492-6151-44C5-B1E1-1318D0B6B46D}" name="Table3" displayName="Table3" ref="A1:D2" totalsRowShown="0">
  <autoFilter ref="A1:D2" xr:uid="{E6F90492-6151-44C5-B1E1-1318D0B6B46D}">
    <filterColumn colId="0" hiddenButton="1"/>
    <filterColumn colId="1" hiddenButton="1"/>
    <filterColumn colId="2" hiddenButton="1"/>
    <filterColumn colId="3" hiddenButton="1"/>
  </autoFilter>
  <tableColumns count="4">
    <tableColumn id="1" xr3:uid="{7CD1ABF9-5543-410C-A159-B1B0337A65D5}" name="Customer Id"/>
    <tableColumn id="2" xr3:uid="{1CDD208C-1851-4A3E-9B89-84A069E63663}" name="Customer Name"/>
    <tableColumn id="3" xr3:uid="{02C9AABF-58F9-47A0-A71F-9E3BF5101AA0}" name="Phone "/>
    <tableColumn id="4" xr3:uid="{DF752811-8FFB-48D2-881D-862535E66D61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mailto:contact@adm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3CE8-D2AE-44AD-A974-05611D504CE3}">
  <sheetPr codeName="Sheet7"/>
  <dimension ref="A1"/>
  <sheetViews>
    <sheetView zoomScale="115" zoomScaleNormal="115" workbookViewId="0">
      <selection activeCell="P42" sqref="P42"/>
    </sheetView>
  </sheetViews>
  <sheetFormatPr defaultRowHeight="14.25" x14ac:dyDescent="0.45"/>
  <cols>
    <col min="1" max="16384" width="9.06640625" style="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0233-D4E9-499D-9E33-3E32A1EB6123}">
  <sheetPr codeName="Sheet1"/>
  <dimension ref="A1:L56"/>
  <sheetViews>
    <sheetView tabSelected="1" zoomScale="85" zoomScaleNormal="85" workbookViewId="0">
      <selection activeCell="N10" sqref="N10"/>
    </sheetView>
  </sheetViews>
  <sheetFormatPr defaultRowHeight="14.25" x14ac:dyDescent="0.45"/>
  <cols>
    <col min="1" max="1" width="14" style="3" customWidth="1"/>
    <col min="2" max="2" width="5.1328125" style="1" customWidth="1"/>
    <col min="3" max="3" width="14.6640625" style="1" bestFit="1" customWidth="1"/>
    <col min="4" max="4" width="37.46484375" style="1" customWidth="1"/>
    <col min="5" max="5" width="12.73046875" style="1" bestFit="1" customWidth="1"/>
    <col min="6" max="6" width="9.796875" style="1" bestFit="1" customWidth="1"/>
    <col min="7" max="7" width="14.265625" style="1" bestFit="1" customWidth="1"/>
    <col min="8" max="8" width="22.265625" style="1" bestFit="1" customWidth="1"/>
    <col min="9" max="9" width="11.9296875" style="1" bestFit="1" customWidth="1"/>
    <col min="10" max="10" width="12.59765625" style="1" bestFit="1" customWidth="1"/>
    <col min="11" max="11" width="14.3984375" style="1" customWidth="1"/>
    <col min="12" max="12" width="7.06640625" style="1" bestFit="1" customWidth="1"/>
    <col min="13" max="13" width="11.73046875" style="1" bestFit="1" customWidth="1"/>
    <col min="14" max="16384" width="9.06640625" style="1"/>
  </cols>
  <sheetData>
    <row r="1" spans="1:12" s="3" customFormat="1" x14ac:dyDescent="0.45"/>
    <row r="2" spans="1:12" s="3" customFormat="1" x14ac:dyDescent="0.45">
      <c r="D2" s="4" t="s">
        <v>28</v>
      </c>
      <c r="E2" s="35">
        <f>SUM(Table1[כמות במלאי])*113</f>
        <v>222271</v>
      </c>
      <c r="G2" s="4" t="s">
        <v>29</v>
      </c>
      <c r="H2" s="5">
        <f>COUNTA(_xlfn.UNIQUE(Table1[מק"ט]))</f>
        <v>49</v>
      </c>
    </row>
    <row r="3" spans="1:12" s="3" customFormat="1" x14ac:dyDescent="0.45"/>
    <row r="4" spans="1:12" s="3" customFormat="1" x14ac:dyDescent="0.45">
      <c r="D4" s="4" t="s">
        <v>31</v>
      </c>
      <c r="E4" s="5">
        <f>COUNTIF(Table1[Alert],"Reorder")</f>
        <v>6</v>
      </c>
      <c r="G4" s="4" t="s">
        <v>30</v>
      </c>
      <c r="H4" s="9">
        <f ca="1">TODAY()</f>
        <v>45861</v>
      </c>
    </row>
    <row r="5" spans="1:12" s="3" customFormat="1" x14ac:dyDescent="0.45"/>
    <row r="7" spans="1:12" ht="14.65" thickBot="1" x14ac:dyDescent="0.5">
      <c r="A7" s="6"/>
      <c r="C7" s="7" t="s">
        <v>32</v>
      </c>
      <c r="D7" s="7" t="s">
        <v>33</v>
      </c>
      <c r="E7" s="7" t="s">
        <v>34</v>
      </c>
      <c r="F7" s="7" t="s">
        <v>35</v>
      </c>
      <c r="G7" s="7" t="s">
        <v>36</v>
      </c>
      <c r="H7" s="7" t="s">
        <v>96</v>
      </c>
      <c r="I7" s="7" t="s">
        <v>11</v>
      </c>
      <c r="J7" s="7" t="s">
        <v>9</v>
      </c>
      <c r="K7" s="7" t="s">
        <v>12</v>
      </c>
    </row>
    <row r="8" spans="1:12" x14ac:dyDescent="0.45">
      <c r="A8" s="36" t="s">
        <v>24</v>
      </c>
      <c r="C8" s="13">
        <v>4084500088917</v>
      </c>
      <c r="D8" s="7" t="str">
        <f>_xlfn.XLOOKUP(Table1[[#This Row],[מק"ט]],PRODUCTS!A:A,PRODUCTS!B:B,"")</f>
        <v>נוזל פיירי כלים לימון</v>
      </c>
      <c r="E8" s="7">
        <v>66</v>
      </c>
      <c r="F8" s="7">
        <f>_xlfn.XLOOKUP(_xlfn.XLOOKUP(Table1[[#This Row],[מק"ט]],PRODUCTS!A:A,PRODUCTS!E:E,""),SUPPLIERS!A:A,SUPPLIERS!C:C,"")</f>
        <v>3</v>
      </c>
      <c r="G8" s="7">
        <f>_xlfn.XLOOKUP(_xlfn.XLOOKUP(Table1[[#This Row],[מק"ט]],PRODUCTS!A:A,PRODUCTS!E:E,""),SUPPLIERS!A:A,SUPPLIERS!D:D,"")</f>
        <v>55</v>
      </c>
      <c r="H8" s="1">
        <v>6.2338275458447132</v>
      </c>
      <c r="I8" s="25">
        <f>Table1[[#This Row],[Predicted_Demand (Daily)]]*Table1[[#This Row],[זמן אספקה]]+1.65*6</f>
        <v>28.60148263753414</v>
      </c>
      <c r="J8" s="8">
        <f>INT(SQRT((2*365*Table1[[#This Row],[Predicted_Demand (Daily)]]*Table1[[#This Row],[עלות ההזמנה]])/(_xlfn.XLOOKUP(C:C,PRODUCTS!A:A,PRODUCTS!F:F))))</f>
        <v>70</v>
      </c>
      <c r="K8" s="7" t="str">
        <f>IF(Table1[[#This Row],[כמות במלאי]]&gt;Table1[[#This Row],[Reorder Point]],"Ok","Reorder")</f>
        <v>Ok</v>
      </c>
      <c r="L8" s="30"/>
    </row>
    <row r="9" spans="1:12" ht="14.65" thickBot="1" x14ac:dyDescent="0.5">
      <c r="A9" s="37"/>
      <c r="C9" s="13">
        <v>4084500853836</v>
      </c>
      <c r="D9" s="7" t="str">
        <f>_xlfn.XLOOKUP(Table1[[#This Row],[מק"ט]],PRODUCTS!A:A,PRODUCTS!B:B,"")</f>
        <v>נוזל כלים פיירי ורדים ומשי</v>
      </c>
      <c r="E9" s="7">
        <v>73</v>
      </c>
      <c r="F9" s="7">
        <f>_xlfn.XLOOKUP(_xlfn.XLOOKUP(Table1[[#This Row],[מק"ט]],PRODUCTS!A:A,PRODUCTS!E:E,""),SUPPLIERS!A:A,SUPPLIERS!C:C,"")</f>
        <v>3</v>
      </c>
      <c r="G9" s="7">
        <f>_xlfn.XLOOKUP(_xlfn.XLOOKUP(Table1[[#This Row],[מק"ט]],PRODUCTS!A:A,PRODUCTS!E:E,""),SUPPLIERS!A:A,SUPPLIERS!D:D,"")</f>
        <v>55</v>
      </c>
      <c r="H9" s="1">
        <v>5.9896839641045654</v>
      </c>
      <c r="I9" s="25">
        <f>Table1[[#This Row],[Predicted_Demand (Daily)]]*Table1[[#This Row],[זמן אספקה]]+1.65*6</f>
        <v>27.869051892313696</v>
      </c>
      <c r="J9" s="8">
        <f>INT(SQRT((2*365*Table1[[#This Row],[Predicted_Demand (Daily)]]*Table1[[#This Row],[עלות ההזמנה]])/(_xlfn.XLOOKUP(C:C,PRODUCTS!A:A,PRODUCTS!F:F))))</f>
        <v>69</v>
      </c>
      <c r="K9" s="7" t="str">
        <f>IF(Table1[[#This Row],[כמות במלאי]]&gt;Table1[[#This Row],[Reorder Point]],"Ok","Reorder")</f>
        <v>Ok</v>
      </c>
      <c r="L9" s="30"/>
    </row>
    <row r="10" spans="1:12" x14ac:dyDescent="0.45">
      <c r="A10" s="36" t="s">
        <v>25</v>
      </c>
      <c r="C10" s="11">
        <v>7290000286921</v>
      </c>
      <c r="D10" s="7" t="str">
        <f>_xlfn.XLOOKUP(Table1[[#This Row],[מק"ט]],PRODUCTS!A:A,PRODUCTS!B:B,"")</f>
        <v>סנוקל רסס כבס 750 מל</v>
      </c>
      <c r="E10" s="7">
        <v>35</v>
      </c>
      <c r="F10" s="7">
        <f>_xlfn.XLOOKUP(_xlfn.XLOOKUP(Table1[[#This Row],[מק"ט]],PRODUCTS!A:A,PRODUCTS!E:E,""),SUPPLIERS!A:A,SUPPLIERS!C:C,"")</f>
        <v>3</v>
      </c>
      <c r="G10" s="7">
        <f>_xlfn.XLOOKUP(_xlfn.XLOOKUP(Table1[[#This Row],[מק"ט]],PRODUCTS!A:A,PRODUCTS!E:E,""),SUPPLIERS!A:A,SUPPLIERS!D:D,"")</f>
        <v>55</v>
      </c>
      <c r="H10" s="1">
        <v>1.8137222005462348</v>
      </c>
      <c r="I10" s="25">
        <f>Table1[[#This Row],[Predicted_Demand (Daily)]]*Table1[[#This Row],[זמן אספקה]]+1.65*6</f>
        <v>15.341166601638703</v>
      </c>
      <c r="J10" s="8">
        <f>INT(SQRT((2*365*Table1[[#This Row],[Predicted_Demand (Daily)]]*Table1[[#This Row],[עלות ההזמנה]])/(_xlfn.XLOOKUP(C:C,PRODUCTS!A:A,PRODUCTS!F:F))))</f>
        <v>38</v>
      </c>
      <c r="K10" s="7" t="str">
        <f>IF(Table1[[#This Row],[כמות במלאי]]&gt;Table1[[#This Row],[Reorder Point]],"Ok","Reorder")</f>
        <v>Ok</v>
      </c>
      <c r="L10" s="30"/>
    </row>
    <row r="11" spans="1:12" ht="14.65" thickBot="1" x14ac:dyDescent="0.5">
      <c r="A11" s="37"/>
      <c r="C11" s="11">
        <v>7290000288024</v>
      </c>
      <c r="D11" s="7" t="str">
        <f>_xlfn.XLOOKUP(Table1[[#This Row],[מק"ט]],PRODUCTS!A:A,PRODUCTS!B:B,"")</f>
        <v>סנו ז'אוול לימון אקונומיקה 4 ליטר</v>
      </c>
      <c r="E11" s="7">
        <v>67</v>
      </c>
      <c r="F11" s="7">
        <f>_xlfn.XLOOKUP(_xlfn.XLOOKUP(Table1[[#This Row],[מק"ט]],PRODUCTS!A:A,PRODUCTS!E:E,""),SUPPLIERS!A:A,SUPPLIERS!C:C,"")</f>
        <v>3</v>
      </c>
      <c r="G11" s="7">
        <f>_xlfn.XLOOKUP(_xlfn.XLOOKUP(Table1[[#This Row],[מק"ט]],PRODUCTS!A:A,PRODUCTS!E:E,""),SUPPLIERS!A:A,SUPPLIERS!D:D,"")</f>
        <v>55</v>
      </c>
      <c r="H11" s="1">
        <v>6.4104877097151771</v>
      </c>
      <c r="I11" s="25">
        <f>Table1[[#This Row],[Predicted_Demand (Daily)]]*Table1[[#This Row],[זמן אספקה]]+1.65*6</f>
        <v>29.13146312914553</v>
      </c>
      <c r="J11" s="8">
        <f>INT(SQRT((2*365*Table1[[#This Row],[Predicted_Demand (Daily)]]*Table1[[#This Row],[עלות ההזמנה]])/(_xlfn.XLOOKUP(C:C,PRODUCTS!A:A,PRODUCTS!F:F))))</f>
        <v>71</v>
      </c>
      <c r="K11" s="7" t="str">
        <f>IF(Table1[[#This Row],[כמות במלאי]]&gt;Table1[[#This Row],[Reorder Point]],"Ok","Reorder")</f>
        <v>Ok</v>
      </c>
      <c r="L11" s="30"/>
    </row>
    <row r="12" spans="1:12" x14ac:dyDescent="0.45">
      <c r="A12" s="36" t="s">
        <v>26</v>
      </c>
      <c r="C12" s="11">
        <v>7290000288307</v>
      </c>
      <c r="D12" s="7" t="str">
        <f>_xlfn.XLOOKUP(Table1[[#This Row],[מק"ט]],PRODUCTS!A:A,PRODUCTS!B:B,"")</f>
        <v>סנומט-מכשיר+30 טבליות</v>
      </c>
      <c r="E12" s="7">
        <v>14</v>
      </c>
      <c r="F12" s="7">
        <f>_xlfn.XLOOKUP(_xlfn.XLOOKUP(Table1[[#This Row],[מק"ט]],PRODUCTS!A:A,PRODUCTS!E:E,""),SUPPLIERS!A:A,SUPPLIERS!C:C,"")</f>
        <v>3</v>
      </c>
      <c r="G12" s="7">
        <f>_xlfn.XLOOKUP(_xlfn.XLOOKUP(Table1[[#This Row],[מק"ט]],PRODUCTS!A:A,PRODUCTS!E:E,""),SUPPLIERS!A:A,SUPPLIERS!D:D,"")</f>
        <v>55</v>
      </c>
      <c r="H12" s="1">
        <v>1.3481623097932109</v>
      </c>
      <c r="I12" s="25">
        <f>Table1[[#This Row],[Predicted_Demand (Daily)]]*Table1[[#This Row],[זמן אספקה]]+1.65*6</f>
        <v>13.944486929379632</v>
      </c>
      <c r="J12" s="8">
        <f>INT(SQRT((2*365*Table1[[#This Row],[Predicted_Demand (Daily)]]*Table1[[#This Row],[עלות ההזמנה]])/(_xlfn.XLOOKUP(C:C,PRODUCTS!A:A,PRODUCTS!F:F))))</f>
        <v>32</v>
      </c>
      <c r="K12" s="7" t="str">
        <f>IF(Table1[[#This Row],[כמות במלאי]]&gt;Table1[[#This Row],[Reorder Point]],"Ok","Reorder")</f>
        <v>Ok</v>
      </c>
    </row>
    <row r="13" spans="1:12" ht="14.65" thickBot="1" x14ac:dyDescent="0.5">
      <c r="A13" s="37"/>
      <c r="C13" s="11">
        <v>7290000288659</v>
      </c>
      <c r="D13" s="7" t="str">
        <f>_xlfn.XLOOKUP(Table1[[#This Row],[מק"ט]],PRODUCTS!A:A,PRODUCTS!B:B,"")</f>
        <v>סנו די ג'ונגל</v>
      </c>
      <c r="E13" s="7">
        <v>15</v>
      </c>
      <c r="F13" s="7">
        <f>_xlfn.XLOOKUP(_xlfn.XLOOKUP(Table1[[#This Row],[מק"ט]],PRODUCTS!A:A,PRODUCTS!E:E,""),SUPPLIERS!A:A,SUPPLIERS!C:C,"")</f>
        <v>3</v>
      </c>
      <c r="G13" s="7">
        <f>_xlfn.XLOOKUP(_xlfn.XLOOKUP(Table1[[#This Row],[מק"ט]],PRODUCTS!A:A,PRODUCTS!E:E,""),SUPPLIERS!A:A,SUPPLIERS!D:D,"")</f>
        <v>55</v>
      </c>
      <c r="H13" s="1">
        <v>1.3767460007803354</v>
      </c>
      <c r="I13" s="25">
        <f>Table1[[#This Row],[Predicted_Demand (Daily)]]*Table1[[#This Row],[זמן אספקה]]+1.65*6</f>
        <v>14.030238002341004</v>
      </c>
      <c r="J13" s="8">
        <f>INT(SQRT((2*365*Table1[[#This Row],[Predicted_Demand (Daily)]]*Table1[[#This Row],[עלות ההזמנה]])/(_xlfn.XLOOKUP(C:C,PRODUCTS!A:A,PRODUCTS!F:F))))</f>
        <v>33</v>
      </c>
      <c r="K13" s="7" t="str">
        <f>IF(Table1[[#This Row],[כמות במלאי]]&gt;Table1[[#This Row],[Reorder Point]],"Ok","Reorder")</f>
        <v>Ok</v>
      </c>
    </row>
    <row r="14" spans="1:12" x14ac:dyDescent="0.45">
      <c r="A14" s="36" t="s">
        <v>27</v>
      </c>
      <c r="C14" s="11">
        <v>7290000292915</v>
      </c>
      <c r="D14" s="7" t="str">
        <f>_xlfn.XLOOKUP(Table1[[#This Row],[מק"ט]],PRODUCTS!A:A,PRODUCTS!B:B,"")</f>
        <v>סנו רסס ונגב</v>
      </c>
      <c r="E14" s="7">
        <v>18</v>
      </c>
      <c r="F14" s="7">
        <f>_xlfn.XLOOKUP(_xlfn.XLOOKUP(Table1[[#This Row],[מק"ט]],PRODUCTS!A:A,PRODUCTS!E:E,""),SUPPLIERS!A:A,SUPPLIERS!C:C,"")</f>
        <v>3</v>
      </c>
      <c r="G14" s="7">
        <f>_xlfn.XLOOKUP(_xlfn.XLOOKUP(Table1[[#This Row],[מק"ט]],PRODUCTS!A:A,PRODUCTS!E:E,""),SUPPLIERS!A:A,SUPPLIERS!D:D,"")</f>
        <v>55</v>
      </c>
      <c r="H14" s="1">
        <v>2.9507842372220057</v>
      </c>
      <c r="I14" s="25">
        <f>Table1[[#This Row],[Predicted_Demand (Daily)]]*Table1[[#This Row],[זמן אספקה]]+1.65*6</f>
        <v>18.752352711666013</v>
      </c>
      <c r="J14" s="8">
        <f>INT(SQRT((2*365*Table1[[#This Row],[Predicted_Demand (Daily)]]*Table1[[#This Row],[עלות ההזמנה]])/(_xlfn.XLOOKUP(C:C,PRODUCTS!A:A,PRODUCTS!F:F))))</f>
        <v>48</v>
      </c>
      <c r="K14" s="7" t="str">
        <f>IF(Table1[[#This Row],[כמות במלאי]]&gt;Table1[[#This Row],[Reorder Point]],"Ok","Reorder")</f>
        <v>Reorder</v>
      </c>
      <c r="L14" s="30"/>
    </row>
    <row r="15" spans="1:12" ht="14.65" thickBot="1" x14ac:dyDescent="0.5">
      <c r="A15" s="37"/>
      <c r="C15" s="11">
        <v>7290000294780</v>
      </c>
      <c r="D15" s="7" t="str">
        <f>_xlfn.XLOOKUP(Table1[[#This Row],[מק"ט]],PRODUCTS!A:A,PRODUCTS!B:B,"")</f>
        <v>סנו ז'אוול אקונומיקה סמיכה 4 ליטר</v>
      </c>
      <c r="E15" s="7">
        <v>70</v>
      </c>
      <c r="F15" s="7">
        <f>_xlfn.XLOOKUP(_xlfn.XLOOKUP(Table1[[#This Row],[מק"ט]],PRODUCTS!A:A,PRODUCTS!E:E,""),SUPPLIERS!A:A,SUPPLIERS!C:C,"")</f>
        <v>3</v>
      </c>
      <c r="G15" s="7">
        <f>_xlfn.XLOOKUP(_xlfn.XLOOKUP(Table1[[#This Row],[מק"ט]],PRODUCTS!A:A,PRODUCTS!E:E,""),SUPPLIERS!A:A,SUPPLIERS!D:D,"")</f>
        <v>55</v>
      </c>
      <c r="H15" s="1">
        <v>6.5020952009364033</v>
      </c>
      <c r="I15" s="25">
        <f>Table1[[#This Row],[Predicted_Demand (Daily)]]*Table1[[#This Row],[זמן אספקה]]+1.65*6</f>
        <v>29.406285602809209</v>
      </c>
      <c r="J15" s="8">
        <f>INT(SQRT((2*365*Table1[[#This Row],[Predicted_Demand (Daily)]]*Table1[[#This Row],[עלות ההזמנה]])/(_xlfn.XLOOKUP(C:C,PRODUCTS!A:A,PRODUCTS!F:F))))</f>
        <v>72</v>
      </c>
      <c r="K15" s="7" t="str">
        <f>IF(Table1[[#This Row],[כמות במלאי]]&gt;Table1[[#This Row],[Reorder Point]],"Ok","Reorder")</f>
        <v>Ok</v>
      </c>
      <c r="L15" s="30"/>
    </row>
    <row r="16" spans="1:12" x14ac:dyDescent="0.45">
      <c r="C16" s="11">
        <v>7290000295367</v>
      </c>
      <c r="D16" s="7" t="str">
        <f>_xlfn.XLOOKUP(Table1[[#This Row],[מק"ט]],PRODUCTS!A:A,PRODUCTS!B:B,"")</f>
        <v>מקסימה אבקת כביסה ז'אוול 2.5 ק'ג</v>
      </c>
      <c r="E16" s="7">
        <v>33</v>
      </c>
      <c r="F16" s="7">
        <f>_xlfn.XLOOKUP(_xlfn.XLOOKUP(Table1[[#This Row],[מק"ט]],PRODUCTS!A:A,PRODUCTS!E:E,""),SUPPLIERS!A:A,SUPPLIERS!C:C,"")</f>
        <v>3</v>
      </c>
      <c r="G16" s="7">
        <f>_xlfn.XLOOKUP(_xlfn.XLOOKUP(Table1[[#This Row],[מק"ט]],PRODUCTS!A:A,PRODUCTS!E:E,""),SUPPLIERS!A:A,SUPPLIERS!D:D,"")</f>
        <v>55</v>
      </c>
      <c r="H16" s="1">
        <v>2.3943152555598877</v>
      </c>
      <c r="I16" s="25">
        <f>Table1[[#This Row],[Predicted_Demand (Daily)]]*Table1[[#This Row],[זמן אספקה]]+1.65*6</f>
        <v>17.082945766679661</v>
      </c>
      <c r="J16" s="8">
        <f>INT(SQRT((2*365*Table1[[#This Row],[Predicted_Demand (Daily)]]*Table1[[#This Row],[עלות ההזמנה]])/(_xlfn.XLOOKUP(C:C,PRODUCTS!A:A,PRODUCTS!F:F))))</f>
        <v>43</v>
      </c>
      <c r="K16" s="7" t="str">
        <f>IF(Table1[[#This Row],[כמות במלאי]]&gt;Table1[[#This Row],[Reorder Point]],"Ok","Reorder")</f>
        <v>Ok</v>
      </c>
      <c r="L16" s="30"/>
    </row>
    <row r="17" spans="3:12" x14ac:dyDescent="0.45">
      <c r="C17" s="11">
        <v>7290000295541</v>
      </c>
      <c r="D17" s="7" t="str">
        <f>_xlfn.XLOOKUP(Table1[[#This Row],[מק"ט]],PRODUCTS!A:A,PRODUCTS!B:B,"")</f>
        <v>סנו סושי רב-מגבת ג'מבו</v>
      </c>
      <c r="E17" s="7">
        <v>18</v>
      </c>
      <c r="F17" s="7">
        <f>_xlfn.XLOOKUP(_xlfn.XLOOKUP(Table1[[#This Row],[מק"ט]],PRODUCTS!A:A,PRODUCTS!E:E,""),SUPPLIERS!A:A,SUPPLIERS!C:C,"")</f>
        <v>3</v>
      </c>
      <c r="G17" s="7">
        <f>_xlfn.XLOOKUP(_xlfn.XLOOKUP(Table1[[#This Row],[מק"ט]],PRODUCTS!A:A,PRODUCTS!E:E,""),SUPPLIERS!A:A,SUPPLIERS!D:D,"")</f>
        <v>55</v>
      </c>
      <c r="H17" s="1">
        <v>1.4228989465470152</v>
      </c>
      <c r="I17" s="25">
        <f>Table1[[#This Row],[Predicted_Demand (Daily)]]*Table1[[#This Row],[זמן אספקה]]+1.65*6</f>
        <v>14.168696839641044</v>
      </c>
      <c r="J17" s="8">
        <f>INT(SQRT((2*365*Table1[[#This Row],[Predicted_Demand (Daily)]]*Table1[[#This Row],[עלות ההזמנה]])/(_xlfn.XLOOKUP(C:C,PRODUCTS!A:A,PRODUCTS!F:F))))</f>
        <v>33</v>
      </c>
      <c r="K17" s="7" t="str">
        <f>IF(Table1[[#This Row],[כמות במלאי]]&gt;Table1[[#This Row],[Reorder Point]],"Ok","Reorder")</f>
        <v>Ok</v>
      </c>
    </row>
    <row r="18" spans="3:12" x14ac:dyDescent="0.45">
      <c r="C18" s="14">
        <v>7290001246610</v>
      </c>
      <c r="D18" s="7" t="str">
        <f>_xlfn.XLOOKUP(Table1[[#This Row],[מק"ט]],PRODUCTS!A:A,PRODUCTS!B:B,"")</f>
        <v>תרסיס קצף ניקוי כללי 500 מ”ל טאצ’</v>
      </c>
      <c r="E18" s="7">
        <v>27</v>
      </c>
      <c r="F18" s="7">
        <f>_xlfn.XLOOKUP(_xlfn.XLOOKUP(Table1[[#This Row],[מק"ט]],PRODUCTS!A:A,PRODUCTS!E:E,""),SUPPLIERS!A:A,SUPPLIERS!C:C,"")</f>
        <v>3</v>
      </c>
      <c r="G18" s="7">
        <f>_xlfn.XLOOKUP(_xlfn.XLOOKUP(Table1[[#This Row],[מק"ט]],PRODUCTS!A:A,PRODUCTS!E:E,""),SUPPLIERS!A:A,SUPPLIERS!D:D,"")</f>
        <v>55</v>
      </c>
      <c r="H18" s="1">
        <v>2.7242099102614121</v>
      </c>
      <c r="I18" s="25">
        <f>Table1[[#This Row],[Predicted_Demand (Daily)]]*Table1[[#This Row],[זמן אספקה]]+1.65*6</f>
        <v>18.072629730784236</v>
      </c>
      <c r="J18" s="8">
        <f>INT(SQRT((2*365*Table1[[#This Row],[Predicted_Demand (Daily)]]*Table1[[#This Row],[עלות ההזמנה]])/(_xlfn.XLOOKUP(C:C,PRODUCTS!A:A,PRODUCTS!F:F))))</f>
        <v>46</v>
      </c>
      <c r="K18" s="7" t="str">
        <f>IF(Table1[[#This Row],[כמות במלאי]]&gt;Table1[[#This Row],[Reorder Point]],"Ok","Reorder")</f>
        <v>Ok</v>
      </c>
      <c r="L18" s="30"/>
    </row>
    <row r="19" spans="3:12" x14ac:dyDescent="0.45">
      <c r="C19" s="11">
        <v>7290005424700</v>
      </c>
      <c r="D19" s="7" t="str">
        <f>_xlfn.XLOOKUP(Table1[[#This Row],[מק"ט]],PRODUCTS!A:A,PRODUCTS!B:B,"")</f>
        <v>סנו פורטה פלוס 1 ליטר</v>
      </c>
      <c r="E19" s="7">
        <v>17</v>
      </c>
      <c r="F19" s="7">
        <f>_xlfn.XLOOKUP(_xlfn.XLOOKUP(Table1[[#This Row],[מק"ט]],PRODUCTS!A:A,PRODUCTS!E:E,""),SUPPLIERS!A:A,SUPPLIERS!C:C,"")</f>
        <v>3</v>
      </c>
      <c r="G19" s="7">
        <f>_xlfn.XLOOKUP(_xlfn.XLOOKUP(Table1[[#This Row],[מק"ט]],PRODUCTS!A:A,PRODUCTS!E:E,""),SUPPLIERS!A:A,SUPPLIERS!D:D,"")</f>
        <v>55</v>
      </c>
      <c r="H19" s="1">
        <v>3.161884510339446</v>
      </c>
      <c r="I19" s="25">
        <f>Table1[[#This Row],[Predicted_Demand (Daily)]]*Table1[[#This Row],[זמן אספקה]]+1.65*6</f>
        <v>19.385653531018335</v>
      </c>
      <c r="J19" s="8">
        <f>INT(SQRT((2*365*Table1[[#This Row],[Predicted_Demand (Daily)]]*Table1[[#This Row],[עלות ההזמנה]])/(_xlfn.XLOOKUP(C:C,PRODUCTS!A:A,PRODUCTS!F:F))))</f>
        <v>50</v>
      </c>
      <c r="K19" s="7" t="str">
        <f>IF(Table1[[#This Row],[כמות במלאי]]&gt;Table1[[#This Row],[Reorder Point]],"Ok","Reorder")</f>
        <v>Reorder</v>
      </c>
    </row>
    <row r="20" spans="3:12" x14ac:dyDescent="0.45">
      <c r="C20" s="11">
        <v>7290005425110</v>
      </c>
      <c r="D20" s="7" t="str">
        <f>_xlfn.XLOOKUP(Table1[[#This Row],[מק"ט]],PRODUCTS!A:A,PRODUCTS!B:B,"")</f>
        <v>סנו 99.9% מחטא ומשמיד חיידקים</v>
      </c>
      <c r="E20" s="7">
        <v>19</v>
      </c>
      <c r="F20" s="7">
        <f>_xlfn.XLOOKUP(_xlfn.XLOOKUP(Table1[[#This Row],[מק"ט]],PRODUCTS!A:A,PRODUCTS!E:E,""),SUPPLIERS!A:A,SUPPLIERS!C:C,"")</f>
        <v>3</v>
      </c>
      <c r="G20" s="7">
        <f>_xlfn.XLOOKUP(_xlfn.XLOOKUP(Table1[[#This Row],[מק"ט]],PRODUCTS!A:A,PRODUCTS!E:E,""),SUPPLIERS!A:A,SUPPLIERS!D:D,"")</f>
        <v>55</v>
      </c>
      <c r="H20" s="1">
        <v>3.0768318376902064</v>
      </c>
      <c r="I20" s="25">
        <f>Table1[[#This Row],[Predicted_Demand (Daily)]]*Table1[[#This Row],[זמן אספקה]]+1.65*6</f>
        <v>19.130495513070617</v>
      </c>
      <c r="J20" s="8">
        <f>INT(SQRT((2*365*Table1[[#This Row],[Predicted_Demand (Daily)]]*Table1[[#This Row],[עלות ההזמנה]])/(_xlfn.XLOOKUP(C:C,PRODUCTS!A:A,PRODUCTS!F:F))))</f>
        <v>49</v>
      </c>
      <c r="K20" s="7" t="str">
        <f>IF(Table1[[#This Row],[כמות במלאי]]&gt;Table1[[#This Row],[Reorder Point]],"Ok","Reorder")</f>
        <v>Reorder</v>
      </c>
    </row>
    <row r="21" spans="3:12" x14ac:dyDescent="0.45">
      <c r="C21" s="11">
        <v>7290005425196</v>
      </c>
      <c r="D21" s="7" t="str">
        <f>_xlfn.XLOOKUP(Table1[[#This Row],[מק"ט]],PRODUCTS!A:A,PRODUCTS!B:B,"")</f>
        <v>מקסימה אבקת כביסה סנסטיב 2.5 ק'ג</v>
      </c>
      <c r="E21" s="7">
        <v>34</v>
      </c>
      <c r="F21" s="7">
        <f>_xlfn.XLOOKUP(_xlfn.XLOOKUP(Table1[[#This Row],[מק"ט]],PRODUCTS!A:A,PRODUCTS!E:E,""),SUPPLIERS!A:A,SUPPLIERS!C:C,"")</f>
        <v>3</v>
      </c>
      <c r="G21" s="7">
        <f>_xlfn.XLOOKUP(_xlfn.XLOOKUP(Table1[[#This Row],[מק"ט]],PRODUCTS!A:A,PRODUCTS!E:E,""),SUPPLIERS!A:A,SUPPLIERS!D:D,"")</f>
        <v>55</v>
      </c>
      <c r="H21" s="1">
        <v>2.5826882559500586</v>
      </c>
      <c r="I21" s="25">
        <f>Table1[[#This Row],[Predicted_Demand (Daily)]]*Table1[[#This Row],[זמן אספקה]]+1.65*6</f>
        <v>17.648064767850173</v>
      </c>
      <c r="J21" s="8">
        <f>INT(SQRT((2*365*Table1[[#This Row],[Predicted_Demand (Daily)]]*Table1[[#This Row],[עלות ההזמנה]])/(_xlfn.XLOOKUP(C:C,PRODUCTS!A:A,PRODUCTS!F:F))))</f>
        <v>45</v>
      </c>
      <c r="K21" s="7" t="str">
        <f>IF(Table1[[#This Row],[כמות במלאי]]&gt;Table1[[#This Row],[Reorder Point]],"Ok","Reorder")</f>
        <v>Ok</v>
      </c>
    </row>
    <row r="22" spans="3:12" x14ac:dyDescent="0.45">
      <c r="C22" s="11">
        <v>7290012116025</v>
      </c>
      <c r="D22" s="7" t="str">
        <f>_xlfn.XLOOKUP(Table1[[#This Row],[מק"ט]],PRODUCTS!A:A,PRODUCTS!B:B,"")</f>
        <v>כיף פיות - שמפו לסירוק קל</v>
      </c>
      <c r="E22" s="7">
        <v>22</v>
      </c>
      <c r="F22" s="7">
        <f>_xlfn.XLOOKUP(_xlfn.XLOOKUP(Table1[[#This Row],[מק"ט]],PRODUCTS!A:A,PRODUCTS!E:E,""),SUPPLIERS!A:A,SUPPLIERS!C:C,"")</f>
        <v>3</v>
      </c>
      <c r="G22" s="7">
        <f>_xlfn.XLOOKUP(_xlfn.XLOOKUP(Table1[[#This Row],[מק"ט]],PRODUCTS!A:A,PRODUCTS!E:E,""),SUPPLIERS!A:A,SUPPLIERS!D:D,"")</f>
        <v>55</v>
      </c>
      <c r="H22" s="1">
        <v>3.1112719469371832</v>
      </c>
      <c r="I22" s="25">
        <f>Table1[[#This Row],[Predicted_Demand (Daily)]]*Table1[[#This Row],[זמן אספקה]]+1.65*6</f>
        <v>19.233815840811548</v>
      </c>
      <c r="J22" s="8">
        <f>INT(SQRT((2*365*Table1[[#This Row],[Predicted_Demand (Daily)]]*Table1[[#This Row],[עלות ההזמנה]])/(_xlfn.XLOOKUP(C:C,PRODUCTS!A:A,PRODUCTS!F:F))))</f>
        <v>49</v>
      </c>
      <c r="K22" s="7" t="str">
        <f>IF(Table1[[#This Row],[כמות במלאי]]&gt;Table1[[#This Row],[Reorder Point]],"Ok","Reorder")</f>
        <v>Ok</v>
      </c>
    </row>
    <row r="23" spans="3:12" x14ac:dyDescent="0.45">
      <c r="C23" s="11">
        <v>7290012117534</v>
      </c>
      <c r="D23" s="7" t="str">
        <f>_xlfn.XLOOKUP(Table1[[#This Row],[מק"ט]],PRODUCTS!A:A,PRODUCTS!B:B,"")</f>
        <v>מקסימה קול מרוכז 1 ליטר</v>
      </c>
      <c r="E23" s="7">
        <v>39</v>
      </c>
      <c r="F23" s="7">
        <f>_xlfn.XLOOKUP(_xlfn.XLOOKUP(Table1[[#This Row],[מק"ט]],PRODUCTS!A:A,PRODUCTS!E:E,""),SUPPLIERS!A:A,SUPPLIERS!C:C,"")</f>
        <v>3</v>
      </c>
      <c r="G23" s="7">
        <f>_xlfn.XLOOKUP(_xlfn.XLOOKUP(Table1[[#This Row],[מק"ט]],PRODUCTS!A:A,PRODUCTS!E:E,""),SUPPLIERS!A:A,SUPPLIERS!D:D,"")</f>
        <v>55</v>
      </c>
      <c r="H23" s="1">
        <v>2.4807647288333983</v>
      </c>
      <c r="I23" s="25">
        <f>Table1[[#This Row],[Predicted_Demand (Daily)]]*Table1[[#This Row],[זמן אספקה]]+1.65*6</f>
        <v>17.342294186500194</v>
      </c>
      <c r="J23" s="8">
        <f>INT(SQRT((2*365*Table1[[#This Row],[Predicted_Demand (Daily)]]*Table1[[#This Row],[עלות ההזמנה]])/(_xlfn.XLOOKUP(C:C,PRODUCTS!A:A,PRODUCTS!F:F))))</f>
        <v>44</v>
      </c>
      <c r="K23" s="7" t="str">
        <f>IF(Table1[[#This Row],[כמות במלאי]]&gt;Table1[[#This Row],[Reorder Point]],"Ok","Reorder")</f>
        <v>Ok</v>
      </c>
    </row>
    <row r="24" spans="3:12" x14ac:dyDescent="0.45">
      <c r="C24" s="11">
        <v>7290013268204</v>
      </c>
      <c r="D24" s="7" t="str">
        <f>_xlfn.XLOOKUP(Table1[[#This Row],[מק"ט]],PRODUCTS!A:A,PRODUCTS!B:B,"")</f>
        <v>סנובון מגבונים לניקוי וחיטוי מושב האסלה</v>
      </c>
      <c r="E24" s="7">
        <v>17</v>
      </c>
      <c r="F24" s="7">
        <f>_xlfn.XLOOKUP(_xlfn.XLOOKUP(Table1[[#This Row],[מק"ט]],PRODUCTS!A:A,PRODUCTS!E:E,""),SUPPLIERS!A:A,SUPPLIERS!C:C,"")</f>
        <v>3</v>
      </c>
      <c r="G24" s="7">
        <f>_xlfn.XLOOKUP(_xlfn.XLOOKUP(Table1[[#This Row],[מק"ט]],PRODUCTS!A:A,PRODUCTS!E:E,""),SUPPLIERS!A:A,SUPPLIERS!D:D,"")</f>
        <v>55</v>
      </c>
      <c r="H24" s="1">
        <v>1.7138938743659773</v>
      </c>
      <c r="I24" s="25">
        <f>Table1[[#This Row],[Predicted_Demand (Daily)]]*Table1[[#This Row],[זמן אספקה]]+1.65*6</f>
        <v>15.041681623097929</v>
      </c>
      <c r="J24" s="8">
        <f>INT(SQRT((2*365*Table1[[#This Row],[Predicted_Demand (Daily)]]*Table1[[#This Row],[עלות ההזמנה]])/(_xlfn.XLOOKUP(C:C,PRODUCTS!A:A,PRODUCTS!F:F))))</f>
        <v>37</v>
      </c>
      <c r="K24" s="7" t="str">
        <f>IF(Table1[[#This Row],[כמות במלאי]]&gt;Table1[[#This Row],[Reorder Point]],"Ok","Reorder")</f>
        <v>Ok</v>
      </c>
      <c r="L24" s="32"/>
    </row>
    <row r="25" spans="3:12" x14ac:dyDescent="0.45">
      <c r="C25" s="11">
        <v>7290013268891</v>
      </c>
      <c r="D25" s="7" t="str">
        <f>_xlfn.XLOOKUP(Table1[[#This Row],[מק"ט]],PRODUCTS!A:A,PRODUCTS!B:B,"")</f>
        <v>סנו אוקסיג'ן ג'ל 3 ליטר</v>
      </c>
      <c r="E25" s="7">
        <v>37</v>
      </c>
      <c r="F25" s="7">
        <f>_xlfn.XLOOKUP(_xlfn.XLOOKUP(Table1[[#This Row],[מק"ט]],PRODUCTS!A:A,PRODUCTS!E:E,""),SUPPLIERS!A:A,SUPPLIERS!C:C,"")</f>
        <v>3</v>
      </c>
      <c r="G25" s="7">
        <f>_xlfn.XLOOKUP(_xlfn.XLOOKUP(Table1[[#This Row],[מק"ט]],PRODUCTS!A:A,PRODUCTS!E:E,""),SUPPLIERS!A:A,SUPPLIERS!D:D,"")</f>
        <v>55</v>
      </c>
      <c r="H25" s="1">
        <v>2.6742957471712834</v>
      </c>
      <c r="I25" s="25">
        <f>Table1[[#This Row],[Predicted_Demand (Daily)]]*Table1[[#This Row],[זמן אספקה]]+1.65*6</f>
        <v>17.922887241513848</v>
      </c>
      <c r="J25" s="8">
        <f>INT(SQRT((2*365*Table1[[#This Row],[Predicted_Demand (Daily)]]*Table1[[#This Row],[עלות ההזמנה]])/(_xlfn.XLOOKUP(C:C,PRODUCTS!A:A,PRODUCTS!F:F))))</f>
        <v>46</v>
      </c>
      <c r="K25" s="7" t="str">
        <f>IF(Table1[[#This Row],[כמות במלאי]]&gt;Table1[[#This Row],[Reorder Point]],"Ok","Reorder")</f>
        <v>Ok</v>
      </c>
    </row>
    <row r="26" spans="3:12" x14ac:dyDescent="0.45">
      <c r="C26" s="11">
        <v>7290013269003</v>
      </c>
      <c r="D26" s="7" t="str">
        <f>_xlfn.XLOOKUP(Table1[[#This Row],[מק"ט]],PRODUCTS!A:A,PRODUCTS!B:B,"")</f>
        <v>מרכך כביסה מקסימה בייבי מרוכז 1 ליטר</v>
      </c>
      <c r="E26" s="7">
        <v>41</v>
      </c>
      <c r="F26" s="7">
        <f>_xlfn.XLOOKUP(_xlfn.XLOOKUP(Table1[[#This Row],[מק"ט]],PRODUCTS!A:A,PRODUCTS!E:E,""),SUPPLIERS!A:A,SUPPLIERS!C:C,"")</f>
        <v>3</v>
      </c>
      <c r="G26" s="7">
        <f>_xlfn.XLOOKUP(_xlfn.XLOOKUP(Table1[[#This Row],[מק"ט]],PRODUCTS!A:A,PRODUCTS!E:E,""),SUPPLIERS!A:A,SUPPLIERS!D:D,"")</f>
        <v>55</v>
      </c>
      <c r="H26" s="1">
        <v>2.5892430745220447</v>
      </c>
      <c r="I26" s="25">
        <f>Table1[[#This Row],[Predicted_Demand (Daily)]]*Table1[[#This Row],[זמן אספקה]]+1.65*6</f>
        <v>17.667729223566134</v>
      </c>
      <c r="J26" s="8">
        <f>INT(SQRT((2*365*Table1[[#This Row],[Predicted_Demand (Daily)]]*Table1[[#This Row],[עלות ההזמנה]])/(_xlfn.XLOOKUP(C:C,PRODUCTS!A:A,PRODUCTS!F:F))))</f>
        <v>45</v>
      </c>
      <c r="K26" s="7" t="str">
        <f>IF(Table1[[#This Row],[כמות במלאי]]&gt;Table1[[#This Row],[Reorder Point]],"Ok","Reorder")</f>
        <v>Ok</v>
      </c>
    </row>
    <row r="27" spans="3:12" x14ac:dyDescent="0.45">
      <c r="C27" s="11">
        <v>7290014397453</v>
      </c>
      <c r="D27" s="7" t="str">
        <f>_xlfn.XLOOKUP(Table1[[#This Row],[מק"ט]],PRODUCTS!A:A,PRODUCTS!B:B,"")</f>
        <v>סנו אוקסיג'ן 3 ליטר מסיר כתמים מכביסה לבנה</v>
      </c>
      <c r="E27" s="7">
        <v>41</v>
      </c>
      <c r="F27" s="7">
        <f>_xlfn.XLOOKUP(_xlfn.XLOOKUP(Table1[[#This Row],[מק"ט]],PRODUCTS!A:A,PRODUCTS!E:E,""),SUPPLIERS!A:A,SUPPLIERS!C:C,"")</f>
        <v>3</v>
      </c>
      <c r="G27" s="7">
        <f>_xlfn.XLOOKUP(_xlfn.XLOOKUP(Table1[[#This Row],[מק"ט]],PRODUCTS!A:A,PRODUCTS!E:E,""),SUPPLIERS!A:A,SUPPLIERS!D:D,"")</f>
        <v>55</v>
      </c>
      <c r="H27" s="1">
        <v>2.7996449473273475</v>
      </c>
      <c r="I27" s="25">
        <f>Table1[[#This Row],[Predicted_Demand (Daily)]]*Table1[[#This Row],[זמן אספקה]]+1.65*6</f>
        <v>18.298934841982039</v>
      </c>
      <c r="J27" s="8">
        <f>INT(SQRT((2*365*Table1[[#This Row],[Predicted_Demand (Daily)]]*Table1[[#This Row],[עלות ההזמנה]])/(_xlfn.XLOOKUP(C:C,PRODUCTS!A:A,PRODUCTS!F:F))))</f>
        <v>47</v>
      </c>
      <c r="K27" s="7" t="str">
        <f>IF(Table1[[#This Row],[כמות במלאי]]&gt;Table1[[#This Row],[Reorder Point]],"Ok","Reorder")</f>
        <v>Ok</v>
      </c>
      <c r="L27" s="31"/>
    </row>
    <row r="28" spans="3:12" x14ac:dyDescent="0.45">
      <c r="C28" s="14">
        <v>7290019274483</v>
      </c>
      <c r="D28" s="7" t="str">
        <f>_xlfn.XLOOKUP(Table1[[#This Row],[מק"ט]],PRODUCTS!A:A,PRODUCTS!B:B,"")</f>
        <v>מטליות לחות נשלפות 2 -ב1 גם ניקוי וגם חיטוי לניקוי כללי- בניחוח לימון</v>
      </c>
      <c r="E28" s="7">
        <v>39</v>
      </c>
      <c r="F28" s="7">
        <f>_xlfn.XLOOKUP(_xlfn.XLOOKUP(Table1[[#This Row],[מק"ט]],PRODUCTS!A:A,PRODUCTS!E:E,""),SUPPLIERS!A:A,SUPPLIERS!C:C,"")</f>
        <v>3</v>
      </c>
      <c r="G28" s="7">
        <f>_xlfn.XLOOKUP(_xlfn.XLOOKUP(Table1[[#This Row],[מק"ט]],PRODUCTS!A:A,PRODUCTS!E:E,""),SUPPLIERS!A:A,SUPPLIERS!D:D,"")</f>
        <v>55</v>
      </c>
      <c r="H28" s="1">
        <v>2.7373195474053813</v>
      </c>
      <c r="I28" s="25">
        <f>Table1[[#This Row],[Predicted_Demand (Daily)]]*Table1[[#This Row],[זמן אספקה]]+1.65*6</f>
        <v>18.111958642216145</v>
      </c>
      <c r="J28" s="8">
        <f>INT(SQRT((2*365*Table1[[#This Row],[Predicted_Demand (Daily)]]*Table1[[#This Row],[עלות ההזמנה]])/(_xlfn.XLOOKUP(C:C,PRODUCTS!A:A,PRODUCTS!F:F))))</f>
        <v>46</v>
      </c>
      <c r="K28" s="7" t="str">
        <f>IF(Table1[[#This Row],[כמות במלאי]]&gt;Table1[[#This Row],[Reorder Point]],"Ok","Reorder")</f>
        <v>Ok</v>
      </c>
    </row>
    <row r="29" spans="3:12" x14ac:dyDescent="0.45">
      <c r="C29" s="14">
        <v>7290019274490</v>
      </c>
      <c r="D29" s="7" t="str">
        <f>_xlfn.XLOOKUP(Table1[[#This Row],[מק"ט]],PRODUCTS!A:A,PRODUCTS!B:B,"")</f>
        <v>מטליות לחות נשלפות 2 -ב1 גם ניקוי וגם חיטוי לניקוי כללי- בניחוח תפוח</v>
      </c>
      <c r="E29" s="7">
        <v>41</v>
      </c>
      <c r="F29" s="7">
        <f>_xlfn.XLOOKUP(_xlfn.XLOOKUP(Table1[[#This Row],[מק"ט]],PRODUCTS!A:A,PRODUCTS!E:E,""),SUPPLIERS!A:A,SUPPLIERS!C:C,"")</f>
        <v>3</v>
      </c>
      <c r="G29" s="7">
        <f>_xlfn.XLOOKUP(_xlfn.XLOOKUP(Table1[[#This Row],[מק"ט]],PRODUCTS!A:A,PRODUCTS!E:E,""),SUPPLIERS!A:A,SUPPLIERS!D:D,"")</f>
        <v>55</v>
      </c>
      <c r="H29" s="1">
        <v>2.7659032383925091</v>
      </c>
      <c r="I29" s="25">
        <f>Table1[[#This Row],[Predicted_Demand (Daily)]]*Table1[[#This Row],[זמן אספקה]]+1.65*6</f>
        <v>18.197709715177524</v>
      </c>
      <c r="J29" s="8">
        <f>INT(SQRT((2*365*Table1[[#This Row],[Predicted_Demand (Daily)]]*Table1[[#This Row],[עלות ההזמנה]])/(_xlfn.XLOOKUP(C:C,PRODUCTS!A:A,PRODUCTS!F:F))))</f>
        <v>47</v>
      </c>
      <c r="K29" s="7" t="str">
        <f>IF(Table1[[#This Row],[כמות במלאי]]&gt;Table1[[#This Row],[Reorder Point]],"Ok","Reorder")</f>
        <v>Ok</v>
      </c>
    </row>
    <row r="30" spans="3:12" x14ac:dyDescent="0.45">
      <c r="C30" s="14">
        <v>7290019611325</v>
      </c>
      <c r="D30" s="7" t="str">
        <f>_xlfn.XLOOKUP(Table1[[#This Row],[מק"ט]],PRODUCTS!A:A,PRODUCTS!B:B,"")</f>
        <v>ג’ל אורנים מרוכז לניקוי רב תכליתי 1 ליטר טאצ’</v>
      </c>
      <c r="E30" s="7">
        <v>45</v>
      </c>
      <c r="F30" s="7">
        <f>_xlfn.XLOOKUP(_xlfn.XLOOKUP(Table1[[#This Row],[מק"ט]],PRODUCTS!A:A,PRODUCTS!E:E,""),SUPPLIERS!A:A,SUPPLIERS!C:C,"")</f>
        <v>3</v>
      </c>
      <c r="G30" s="7">
        <f>_xlfn.XLOOKUP(_xlfn.XLOOKUP(Table1[[#This Row],[מק"ט]],PRODUCTS!A:A,PRODUCTS!E:E,""),SUPPLIERS!A:A,SUPPLIERS!D:D,"")</f>
        <v>55</v>
      </c>
      <c r="H30" s="1">
        <v>2.6126687475614512</v>
      </c>
      <c r="I30" s="25">
        <f>Table1[[#This Row],[Predicted_Demand (Daily)]]*Table1[[#This Row],[זמן אספקה]]+1.65*6</f>
        <v>17.738006242684353</v>
      </c>
      <c r="J30" s="8">
        <f>INT(SQRT((2*365*Table1[[#This Row],[Predicted_Demand (Daily)]]*Table1[[#This Row],[עלות ההזמנה]])/(_xlfn.XLOOKUP(C:C,PRODUCTS!A:A,PRODUCTS!F:F))))</f>
        <v>45</v>
      </c>
      <c r="K30" s="7" t="str">
        <f>IF(Table1[[#This Row],[כמות במלאי]]&gt;Table1[[#This Row],[Reorder Point]],"Ok","Reorder")</f>
        <v>Ok</v>
      </c>
      <c r="L30" s="31"/>
    </row>
    <row r="31" spans="3:12" x14ac:dyDescent="0.45">
      <c r="C31" s="14">
        <v>7290103702489</v>
      </c>
      <c r="D31" s="7" t="str">
        <f>_xlfn.XLOOKUP(Table1[[#This Row],[מק"ט]],PRODUCTS!A:A,PRODUCTS!B:B,"")</f>
        <v>נייר טואלט חתוך 800 דף טאצ’</v>
      </c>
      <c r="E31" s="7">
        <v>85</v>
      </c>
      <c r="F31" s="7">
        <f>_xlfn.XLOOKUP(_xlfn.XLOOKUP(Table1[[#This Row],[מק"ט]],PRODUCTS!A:A,PRODUCTS!E:E,""),SUPPLIERS!A:A,SUPPLIERS!C:C,"")</f>
        <v>3</v>
      </c>
      <c r="G31" s="7">
        <f>_xlfn.XLOOKUP(_xlfn.XLOOKUP(Table1[[#This Row],[מק"ט]],PRODUCTS!A:A,PRODUCTS!E:E,""),SUPPLIERS!A:A,SUPPLIERS!D:D,"")</f>
        <v>55</v>
      </c>
      <c r="H31" s="1">
        <v>6.8230706203667557</v>
      </c>
      <c r="I31" s="25">
        <f>Table1[[#This Row],[Predicted_Demand (Daily)]]*Table1[[#This Row],[זמן אספקה]]+1.65*6</f>
        <v>30.369211861100265</v>
      </c>
      <c r="J31" s="8">
        <f>INT(SQRT((2*365*Table1[[#This Row],[Predicted_Demand (Daily)]]*Table1[[#This Row],[עלות ההזמנה]])/(_xlfn.XLOOKUP(C:C,PRODUCTS!A:A,PRODUCTS!F:F))))</f>
        <v>74</v>
      </c>
      <c r="K31" s="7" t="str">
        <f>IF(Table1[[#This Row],[כמות במלאי]]&gt;Table1[[#This Row],[Reorder Point]],"Ok","Reorder")</f>
        <v>Ok</v>
      </c>
      <c r="L31" s="30"/>
    </row>
    <row r="32" spans="3:12" x14ac:dyDescent="0.45">
      <c r="C32" s="14">
        <v>7290103703370</v>
      </c>
      <c r="D32" s="7" t="str">
        <f>_xlfn.XLOOKUP(Table1[[#This Row],[מק"ט]],PRODUCTS!A:A,PRODUCTS!B:B,"")</f>
        <v>מגבוני טואלט לחים מארז שלישיה טאצ’</v>
      </c>
      <c r="E32" s="7">
        <v>85</v>
      </c>
      <c r="F32" s="7">
        <f>_xlfn.XLOOKUP(_xlfn.XLOOKUP(Table1[[#This Row],[מק"ט]],PRODUCTS!A:A,PRODUCTS!E:E,""),SUPPLIERS!A:A,SUPPLIERS!C:C,"")</f>
        <v>3</v>
      </c>
      <c r="G32" s="7">
        <f>_xlfn.XLOOKUP(_xlfn.XLOOKUP(Table1[[#This Row],[מק"ט]],PRODUCTS!A:A,PRODUCTS!E:E,""),SUPPLIERS!A:A,SUPPLIERS!D:D,"")</f>
        <v>55</v>
      </c>
      <c r="H32" s="1">
        <v>6.9425634022629694</v>
      </c>
      <c r="I32" s="25">
        <f>Table1[[#This Row],[Predicted_Demand (Daily)]]*Table1[[#This Row],[זמן אספקה]]+1.65*6</f>
        <v>30.727690206788907</v>
      </c>
      <c r="J32" s="8">
        <f>INT(SQRT((2*365*Table1[[#This Row],[Predicted_Demand (Daily)]]*Table1[[#This Row],[עלות ההזמנה]])/(_xlfn.XLOOKUP(C:C,PRODUCTS!A:A,PRODUCTS!F:F))))</f>
        <v>74</v>
      </c>
      <c r="K32" s="7" t="str">
        <f>IF(Table1[[#This Row],[כמות במלאי]]&gt;Table1[[#This Row],[Reorder Point]],"Ok","Reorder")</f>
        <v>Ok</v>
      </c>
      <c r="L32" s="30"/>
    </row>
    <row r="33" spans="3:12" x14ac:dyDescent="0.45">
      <c r="C33" s="14">
        <v>7290103704155</v>
      </c>
      <c r="D33" s="7" t="str">
        <f>_xlfn.XLOOKUP(Table1[[#This Row],[מק"ט]],PRODUCTS!A:A,PRODUCTS!B:B,"")</f>
        <v>מגבות נייר 6 גלילים טאצ’</v>
      </c>
      <c r="E33" s="7">
        <v>80</v>
      </c>
      <c r="F33" s="7">
        <f>_xlfn.XLOOKUP(_xlfn.XLOOKUP(Table1[[#This Row],[מק"ט]],PRODUCTS!A:A,PRODUCTS!E:E,""),SUPPLIERS!A:A,SUPPLIERS!C:C,"")</f>
        <v>3</v>
      </c>
      <c r="G33" s="7">
        <f>_xlfn.XLOOKUP(_xlfn.XLOOKUP(Table1[[#This Row],[מק"ט]],PRODUCTS!A:A,PRODUCTS!E:E,""),SUPPLIERS!A:A,SUPPLIERS!D:D,"")</f>
        <v>55</v>
      </c>
      <c r="H33" s="1">
        <v>6.9711470932500967</v>
      </c>
      <c r="I33" s="25">
        <f>Table1[[#This Row],[Predicted_Demand (Daily)]]*Table1[[#This Row],[זמן אספקה]]+1.65*6</f>
        <v>30.81344127975029</v>
      </c>
      <c r="J33" s="8">
        <f>INT(SQRT((2*365*Table1[[#This Row],[Predicted_Demand (Daily)]]*Table1[[#This Row],[עלות ההזמנה]])/(_xlfn.XLOOKUP(C:C,PRODUCTS!A:A,PRODUCTS!F:F))))</f>
        <v>74</v>
      </c>
      <c r="K33" s="7" t="str">
        <f>IF(Table1[[#This Row],[כמות במלאי]]&gt;Table1[[#This Row],[Reorder Point]],"Ok","Reorder")</f>
        <v>Ok</v>
      </c>
      <c r="L33" s="30"/>
    </row>
    <row r="34" spans="3:12" x14ac:dyDescent="0.45">
      <c r="C34" s="14">
        <v>7290103704179</v>
      </c>
      <c r="D34" s="7" t="str">
        <f>_xlfn.XLOOKUP(Table1[[#This Row],[מק"ט]],PRODUCTS!A:A,PRODUCTS!B:B,"")</f>
        <v>מגבות נייר 8 גלילים טאצ’</v>
      </c>
      <c r="E34" s="7">
        <v>83</v>
      </c>
      <c r="F34" s="7">
        <f>_xlfn.XLOOKUP(_xlfn.XLOOKUP(Table1[[#This Row],[מק"ט]],PRODUCTS!A:A,PRODUCTS!E:E,""),SUPPLIERS!A:A,SUPPLIERS!C:C,"")</f>
        <v>3</v>
      </c>
      <c r="G34" s="7">
        <f>_xlfn.XLOOKUP(_xlfn.XLOOKUP(Table1[[#This Row],[מק"ט]],PRODUCTS!A:A,PRODUCTS!E:E,""),SUPPLIERS!A:A,SUPPLIERS!D:D,"")</f>
        <v>55</v>
      </c>
      <c r="H34" s="1">
        <v>7.0224580569644948</v>
      </c>
      <c r="I34" s="25">
        <f>Table1[[#This Row],[Predicted_Demand (Daily)]]*Table1[[#This Row],[זמן אספקה]]+1.65*6</f>
        <v>30.967374170893482</v>
      </c>
      <c r="J34" s="8">
        <f>INT(SQRT((2*365*Table1[[#This Row],[Predicted_Demand (Daily)]]*Table1[[#This Row],[עלות ההזמנה]])/(_xlfn.XLOOKUP(C:C,PRODUCTS!A:A,PRODUCTS!F:F))))</f>
        <v>75</v>
      </c>
      <c r="K34" s="7" t="str">
        <f>IF(Table1[[#This Row],[כמות במלאי]]&gt;Table1[[#This Row],[Reorder Point]],"Ok","Reorder")</f>
        <v>Ok</v>
      </c>
      <c r="L34" s="30"/>
    </row>
    <row r="35" spans="3:12" x14ac:dyDescent="0.45">
      <c r="C35" s="14">
        <v>7290103704919</v>
      </c>
      <c r="D35" s="7" t="str">
        <f>_xlfn.XLOOKUP(Table1[[#This Row],[מק"ט]],PRODUCTS!A:A,PRODUCTS!B:B,"")</f>
        <v>מגבוני טואלט לחים מארז שלישיה טאצ’ (צהוב)</v>
      </c>
      <c r="E35" s="7">
        <v>20</v>
      </c>
      <c r="F35" s="7">
        <f>_xlfn.XLOOKUP(_xlfn.XLOOKUP(Table1[[#This Row],[מק"ט]],PRODUCTS!A:A,PRODUCTS!E:E,""),SUPPLIERS!A:A,SUPPLIERS!C:C,"")</f>
        <v>3</v>
      </c>
      <c r="G35" s="7">
        <f>_xlfn.XLOOKUP(_xlfn.XLOOKUP(Table1[[#This Row],[מק"ט]],PRODUCTS!A:A,PRODUCTS!E:E,""),SUPPLIERS!A:A,SUPPLIERS!D:D,"")</f>
        <v>55</v>
      </c>
      <c r="H35" s="1">
        <v>6.6681324348219828</v>
      </c>
      <c r="I35" s="25">
        <f>Table1[[#This Row],[Predicted_Demand (Daily)]]*Table1[[#This Row],[זמן אספקה]]+1.65*6</f>
        <v>29.904397304465945</v>
      </c>
      <c r="J35" s="8">
        <f>INT(SQRT((2*365*Table1[[#This Row],[Predicted_Demand (Daily)]]*Table1[[#This Row],[עלות ההזמנה]])/(_xlfn.XLOOKUP(C:C,PRODUCTS!A:A,PRODUCTS!F:F))))</f>
        <v>73</v>
      </c>
      <c r="K35" s="7" t="str">
        <f>IF(Table1[[#This Row],[כמות במלאי]]&gt;Table1[[#This Row],[Reorder Point]],"Ok","Reorder")</f>
        <v>Reorder</v>
      </c>
      <c r="L35" s="30"/>
    </row>
    <row r="36" spans="3:12" x14ac:dyDescent="0.45">
      <c r="C36" s="11">
        <v>7290107280099</v>
      </c>
      <c r="D36" s="7" t="str">
        <f>_xlfn.XLOOKUP(Table1[[#This Row],[מק"ט]],PRODUCTS!A:A,PRODUCTS!B:B,"")</f>
        <v>סופט מגבוני טואלט לחים נשטפים באסלה</v>
      </c>
      <c r="E36" s="7">
        <v>20</v>
      </c>
      <c r="F36" s="7">
        <f>_xlfn.XLOOKUP(_xlfn.XLOOKUP(Table1[[#This Row],[מק"ט]],PRODUCTS!A:A,PRODUCTS!E:E,""),SUPPLIERS!A:A,SUPPLIERS!C:C,"")</f>
        <v>3</v>
      </c>
      <c r="G36" s="7">
        <f>_xlfn.XLOOKUP(_xlfn.XLOOKUP(Table1[[#This Row],[מק"ט]],PRODUCTS!A:A,PRODUCTS!E:E,""),SUPPLIERS!A:A,SUPPLIERS!D:D,"")</f>
        <v>55</v>
      </c>
      <c r="H36" s="1">
        <v>2.0568981662114707</v>
      </c>
      <c r="I36" s="25">
        <f>Table1[[#This Row],[Predicted_Demand (Daily)]]*Table1[[#This Row],[זמן אספקה]]+1.65*6</f>
        <v>16.07069449863441</v>
      </c>
      <c r="J36" s="8">
        <f>INT(SQRT((2*365*Table1[[#This Row],[Predicted_Demand (Daily)]]*Table1[[#This Row],[עלות ההזמנה]])/(_xlfn.XLOOKUP(C:C,PRODUCTS!A:A,PRODUCTS!F:F))))</f>
        <v>40</v>
      </c>
      <c r="K36" s="7" t="str">
        <f>IF(Table1[[#This Row],[כמות במלאי]]&gt;Table1[[#This Row],[Reorder Point]],"Ok","Reorder")</f>
        <v>Ok</v>
      </c>
      <c r="L36" s="31"/>
    </row>
    <row r="37" spans="3:12" x14ac:dyDescent="0.45">
      <c r="C37" s="11">
        <v>7290108351699</v>
      </c>
      <c r="D37" s="7" t="str">
        <f>_xlfn.XLOOKUP(Table1[[#This Row],[מק"ט]],PRODUCTS!A:A,PRODUCTS!B:B,"")</f>
        <v>סנוג'ט+ חומץ מטליות לחות לניקוי כללי</v>
      </c>
      <c r="E37" s="7">
        <v>27</v>
      </c>
      <c r="F37" s="7">
        <f>_xlfn.XLOOKUP(_xlfn.XLOOKUP(Table1[[#This Row],[מק"ט]],PRODUCTS!A:A,PRODUCTS!E:E,""),SUPPLIERS!A:A,SUPPLIERS!C:C,"")</f>
        <v>3</v>
      </c>
      <c r="G37" s="7">
        <f>_xlfn.XLOOKUP(_xlfn.XLOOKUP(Table1[[#This Row],[מק"ט]],PRODUCTS!A:A,PRODUCTS!E:E,""),SUPPLIERS!A:A,SUPPLIERS!D:D,"")</f>
        <v>55</v>
      </c>
      <c r="H37" s="1">
        <v>3.6763909481076866</v>
      </c>
      <c r="I37" s="25">
        <f>Table1[[#This Row],[Predicted_Demand (Daily)]]*Table1[[#This Row],[זמן אספקה]]+1.65*6</f>
        <v>20.929172844323059</v>
      </c>
      <c r="J37" s="8">
        <f>INT(SQRT((2*365*Table1[[#This Row],[Predicted_Demand (Daily)]]*Table1[[#This Row],[עלות ההזמנה]])/(_xlfn.XLOOKUP(C:C,PRODUCTS!A:A,PRODUCTS!F:F))))</f>
        <v>54</v>
      </c>
      <c r="K37" s="7" t="str">
        <f>IF(Table1[[#This Row],[כמות במלאי]]&gt;Table1[[#This Row],[Reorder Point]],"Ok","Reorder")</f>
        <v>Ok</v>
      </c>
    </row>
    <row r="38" spans="3:12" x14ac:dyDescent="0.45">
      <c r="C38" s="11">
        <v>7290108352702</v>
      </c>
      <c r="D38" s="7" t="str">
        <f>_xlfn.XLOOKUP(Table1[[#This Row],[מק"ט]],PRODUCTS!A:A,PRODUCTS!B:B,"")</f>
        <v>סופט טואלט בוב ספוג שלישייה</v>
      </c>
      <c r="E38" s="7">
        <v>25</v>
      </c>
      <c r="F38" s="7">
        <f>_xlfn.XLOOKUP(_xlfn.XLOOKUP(Table1[[#This Row],[מק"ט]],PRODUCTS!A:A,PRODUCTS!E:E,""),SUPPLIERS!A:A,SUPPLIERS!C:C,"")</f>
        <v>3</v>
      </c>
      <c r="G38" s="7">
        <f>_xlfn.XLOOKUP(_xlfn.XLOOKUP(Table1[[#This Row],[מק"ט]],PRODUCTS!A:A,PRODUCTS!E:E,""),SUPPLIERS!A:A,SUPPLIERS!D:D,"")</f>
        <v>55</v>
      </c>
      <c r="H38" s="1">
        <v>1.9777019118220835</v>
      </c>
      <c r="I38" s="25">
        <f>Table1[[#This Row],[Predicted_Demand (Daily)]]*Table1[[#This Row],[זמן אספקה]]+1.65*6</f>
        <v>15.833105735466249</v>
      </c>
      <c r="J38" s="8">
        <f>INT(SQRT((2*365*Table1[[#This Row],[Predicted_Demand (Daily)]]*Table1[[#This Row],[עלות ההזמנה]])/(_xlfn.XLOOKUP(C:C,PRODUCTS!A:A,PRODUCTS!F:F))))</f>
        <v>39</v>
      </c>
      <c r="K38" s="7" t="str">
        <f>IF(Table1[[#This Row],[כמות במלאי]]&gt;Table1[[#This Row],[Reorder Point]],"Ok","Reorder")</f>
        <v>Ok</v>
      </c>
    </row>
    <row r="39" spans="3:12" x14ac:dyDescent="0.45">
      <c r="C39" s="11">
        <v>7290108356298</v>
      </c>
      <c r="D39" s="7" t="str">
        <f>_xlfn.XLOOKUP(Table1[[#This Row],[מק"ט]],PRODUCTS!A:A,PRODUCTS!B:B,"")</f>
        <v>כיף מוס רחצה בניחוח גלידה קרם עוגיות</v>
      </c>
      <c r="E39" s="7">
        <v>29</v>
      </c>
      <c r="F39" s="7">
        <f>_xlfn.XLOOKUP(_xlfn.XLOOKUP(Table1[[#This Row],[מק"ט]],PRODUCTS!A:A,PRODUCTS!E:E,""),SUPPLIERS!A:A,SUPPLIERS!C:C,"")</f>
        <v>3</v>
      </c>
      <c r="G39" s="7">
        <f>_xlfn.XLOOKUP(_xlfn.XLOOKUP(Table1[[#This Row],[מק"ט]],PRODUCTS!A:A,PRODUCTS!E:E,""),SUPPLIERS!A:A,SUPPLIERS!D:D,"")</f>
        <v>55</v>
      </c>
      <c r="H39" s="1">
        <v>3.6881037846273901</v>
      </c>
      <c r="I39" s="25">
        <f>Table1[[#This Row],[Predicted_Demand (Daily)]]*Table1[[#This Row],[זמן אספקה]]+1.65*6</f>
        <v>20.964311353882167</v>
      </c>
      <c r="J39" s="8">
        <f>INT(SQRT((2*365*Table1[[#This Row],[Predicted_Demand (Daily)]]*Table1[[#This Row],[עלות ההזמנה]])/(_xlfn.XLOOKUP(C:C,PRODUCTS!A:A,PRODUCTS!F:F))))</f>
        <v>54</v>
      </c>
      <c r="K39" s="7" t="str">
        <f>IF(Table1[[#This Row],[כמות במלאי]]&gt;Table1[[#This Row],[Reorder Point]],"Ok","Reorder")</f>
        <v>Ok</v>
      </c>
    </row>
    <row r="40" spans="3:12" x14ac:dyDescent="0.45">
      <c r="C40" s="15">
        <v>7290108356700</v>
      </c>
      <c r="D40" s="7" t="str">
        <f>_xlfn.XLOOKUP(Table1[[#This Row],[מק"ט]],PRODUCTS!A:A,PRODUCTS!B:B,"")</f>
        <v>סנו די! קידס דוחה יתושים עם קמומיל לילדים 50 מל</v>
      </c>
      <c r="E40" s="7">
        <v>19</v>
      </c>
      <c r="F40" s="7">
        <f>_xlfn.XLOOKUP(_xlfn.XLOOKUP(Table1[[#This Row],[מק"ט]],PRODUCTS!A:A,PRODUCTS!E:E,""),SUPPLIERS!A:A,SUPPLIERS!C:C,"")</f>
        <v>3</v>
      </c>
      <c r="G40" s="7">
        <f>_xlfn.XLOOKUP(_xlfn.XLOOKUP(Table1[[#This Row],[מק"ט]],PRODUCTS!A:A,PRODUCTS!E:E,""),SUPPLIERS!A:A,SUPPLIERS!D:D,"")</f>
        <v>55</v>
      </c>
      <c r="H40" s="1">
        <v>2.2621420210690597</v>
      </c>
      <c r="I40" s="25">
        <f>Table1[[#This Row],[Predicted_Demand (Daily)]]*Table1[[#This Row],[זמן אספקה]]+1.65*6</f>
        <v>16.686426063207179</v>
      </c>
      <c r="J40" s="8">
        <f>INT(SQRT((2*365*Table1[[#This Row],[Predicted_Demand (Daily)]]*Table1[[#This Row],[עלות ההזמנה]])/(_xlfn.XLOOKUP(C:C,PRODUCTS!A:A,PRODUCTS!F:F))))</f>
        <v>42</v>
      </c>
      <c r="K40" s="7" t="str">
        <f>IF(Table1[[#This Row],[כמות במלאי]]&gt;Table1[[#This Row],[Reorder Point]],"Ok","Reorder")</f>
        <v>Ok</v>
      </c>
    </row>
    <row r="41" spans="3:12" x14ac:dyDescent="0.45">
      <c r="C41" s="11">
        <v>7290108356717</v>
      </c>
      <c r="D41" s="7" t="str">
        <f>_xlfn.XLOOKUP(Table1[[#This Row],[מק"ט]],PRODUCTS!A:A,PRODUCTS!B:B,"")</f>
        <v>כיף לגבר 3 ב-1 ULTRA POWER שמפו, ג'ל רחצה וסבון פנים, קפאין</v>
      </c>
      <c r="E41" s="7">
        <v>30</v>
      </c>
      <c r="F41" s="7">
        <f>_xlfn.XLOOKUP(_xlfn.XLOOKUP(Table1[[#This Row],[מק"ט]],PRODUCTS!A:A,PRODUCTS!E:E,""),SUPPLIERS!A:A,SUPPLIERS!C:C,"")</f>
        <v>3</v>
      </c>
      <c r="G41" s="7">
        <f>_xlfn.XLOOKUP(_xlfn.XLOOKUP(Table1[[#This Row],[מק"ט]],PRODUCTS!A:A,PRODUCTS!E:E,""),SUPPLIERS!A:A,SUPPLIERS!D:D,"")</f>
        <v>55</v>
      </c>
      <c r="H41" s="1">
        <v>3.6998166211470935</v>
      </c>
      <c r="I41" s="25">
        <f>Table1[[#This Row],[Predicted_Demand (Daily)]]*Table1[[#This Row],[זמן אספקה]]+1.65*6</f>
        <v>20.999449863441278</v>
      </c>
      <c r="J41" s="8">
        <f>INT(SQRT((2*365*Table1[[#This Row],[Predicted_Demand (Daily)]]*Table1[[#This Row],[עלות ההזמנה]])/(_xlfn.XLOOKUP(C:C,PRODUCTS!A:A,PRODUCTS!F:F))))</f>
        <v>54</v>
      </c>
      <c r="K41" s="7" t="str">
        <f>IF(Table1[[#This Row],[כמות במלאי]]&gt;Table1[[#This Row],[Reorder Point]],"Ok","Reorder")</f>
        <v>Ok</v>
      </c>
    </row>
    <row r="42" spans="3:12" x14ac:dyDescent="0.45">
      <c r="C42" s="10">
        <v>7290108356724</v>
      </c>
      <c r="D42" s="7" t="str">
        <f>_xlfn.XLOOKUP(Table1[[#This Row],[מק"ט]],PRODUCTS!A:A,PRODUCTS!B:B,"")</f>
        <v>כיף לגבר 3 ב-1 COOL SPORT שמפו, ג'ל רחצה וסבון פנים, אלוורה</v>
      </c>
      <c r="E42" s="7">
        <v>28</v>
      </c>
      <c r="F42" s="7">
        <f>_xlfn.XLOOKUP(_xlfn.XLOOKUP(Table1[[#This Row],[מק"ט]],PRODUCTS!A:A,PRODUCTS!E:E,""),SUPPLIERS!A:A,SUPPLIERS!C:C,"")</f>
        <v>3</v>
      </c>
      <c r="G42" s="7">
        <f>_xlfn.XLOOKUP(_xlfn.XLOOKUP(Table1[[#This Row],[מק"ט]],PRODUCTS!A:A,PRODUCTS!E:E,""),SUPPLIERS!A:A,SUPPLIERS!D:D,"")</f>
        <v>55</v>
      </c>
      <c r="H42" s="1">
        <v>3.7511275848614902</v>
      </c>
      <c r="I42" s="25">
        <f>Table1[[#This Row],[Predicted_Demand (Daily)]]*Table1[[#This Row],[זמן אספקה]]+1.65*6</f>
        <v>21.15338275458447</v>
      </c>
      <c r="J42" s="8">
        <f>INT(SQRT((2*365*Table1[[#This Row],[Predicted_Demand (Daily)]]*Table1[[#This Row],[עלות ההזמנה]])/(_xlfn.XLOOKUP(C:C,PRODUCTS!A:A,PRODUCTS!F:F))))</f>
        <v>54</v>
      </c>
      <c r="K42" s="7" t="str">
        <f>IF(Table1[[#This Row],[כמות במלאי]]&gt;Table1[[#This Row],[Reorder Point]],"Ok","Reorder")</f>
        <v>Ok</v>
      </c>
    </row>
    <row r="43" spans="3:12" x14ac:dyDescent="0.45">
      <c r="C43" s="11">
        <v>7290108357240</v>
      </c>
      <c r="D43" s="7" t="str">
        <f>_xlfn.XLOOKUP(Table1[[#This Row],[מק"ט]],PRODUCTS!A:A,PRODUCTS!B:B,"")</f>
        <v>סנו אוקסיג'ן Power אבקה עוצמתית לניקוי והסרת כתמים קשים 1.4 ק'ג</v>
      </c>
      <c r="E43" s="7">
        <v>43</v>
      </c>
      <c r="F43" s="7">
        <f>_xlfn.XLOOKUP(_xlfn.XLOOKUP(Table1[[#This Row],[מק"ט]],PRODUCTS!A:A,PRODUCTS!E:E,""),SUPPLIERS!A:A,SUPPLIERS!C:C,"")</f>
        <v>3</v>
      </c>
      <c r="G43" s="7">
        <f>_xlfn.XLOOKUP(_xlfn.XLOOKUP(Table1[[#This Row],[מק"ט]],PRODUCTS!A:A,PRODUCTS!E:E,""),SUPPLIERS!A:A,SUPPLIERS!D:D,"")</f>
        <v>55</v>
      </c>
      <c r="H43" s="1">
        <v>3.2797112758486149</v>
      </c>
      <c r="I43" s="25">
        <f>Table1[[#This Row],[Predicted_Demand (Daily)]]*Table1[[#This Row],[זמן אספקה]]+1.65*6</f>
        <v>19.739133827545842</v>
      </c>
      <c r="J43" s="8">
        <f>INT(SQRT((2*365*Table1[[#This Row],[Predicted_Demand (Daily)]]*Table1[[#This Row],[עלות ההזמנה]])/(_xlfn.XLOOKUP(C:C,PRODUCTS!A:A,PRODUCTS!F:F))))</f>
        <v>51</v>
      </c>
      <c r="K43" s="7" t="str">
        <f>IF(Table1[[#This Row],[כמות במלאי]]&gt;Table1[[#This Row],[Reorder Point]],"Ok","Reorder")</f>
        <v>Ok</v>
      </c>
    </row>
    <row r="44" spans="3:12" x14ac:dyDescent="0.45">
      <c r="C44" s="11">
        <v>7290108357288</v>
      </c>
      <c r="D44" s="7" t="str">
        <f>_xlfn.XLOOKUP(Table1[[#This Row],[מק"ט]],PRODUCTS!A:A,PRODUCTS!B:B,"")</f>
        <v>סנו ז'אוול 4 ליטר אקונומיקה בניחוח פריחה לבנה</v>
      </c>
      <c r="E44" s="7">
        <v>85</v>
      </c>
      <c r="F44" s="7">
        <f>_xlfn.XLOOKUP(_xlfn.XLOOKUP(Table1[[#This Row],[מק"ט]],PRODUCTS!A:A,PRODUCTS!E:E,""),SUPPLIERS!A:A,SUPPLIERS!C:C,"")</f>
        <v>3</v>
      </c>
      <c r="G44" s="7">
        <f>_xlfn.XLOOKUP(_xlfn.XLOOKUP(Table1[[#This Row],[מק"ט]],PRODUCTS!A:A,PRODUCTS!E:E,""),SUPPLIERS!A:A,SUPPLIERS!D:D,"")</f>
        <v>55</v>
      </c>
      <c r="H44" s="1">
        <v>7.3537495122902854</v>
      </c>
      <c r="I44" s="25">
        <f>Table1[[#This Row],[Predicted_Demand (Daily)]]*Table1[[#This Row],[זמן אספקה]]+1.65*6</f>
        <v>31.961248536870855</v>
      </c>
      <c r="J44" s="8">
        <f>INT(SQRT((2*365*Table1[[#This Row],[Predicted_Demand (Daily)]]*Table1[[#This Row],[עלות ההזמנה]])/(_xlfn.XLOOKUP(C:C,PRODUCTS!A:A,PRODUCTS!F:F))))</f>
        <v>76</v>
      </c>
      <c r="K44" s="7" t="str">
        <f>IF(Table1[[#This Row],[כמות במלאי]]&gt;Table1[[#This Row],[Reorder Point]],"Ok","Reorder")</f>
        <v>Ok</v>
      </c>
      <c r="L44" s="30"/>
    </row>
    <row r="45" spans="3:12" x14ac:dyDescent="0.45">
      <c r="C45" s="11">
        <v>7290108357844</v>
      </c>
      <c r="D45" s="7" t="str">
        <f>_xlfn.XLOOKUP(Table1[[#This Row],[מק"ט]],PRODUCTS!A:A,PRODUCTS!B:B,"")</f>
        <v>כיף אל סבון שקית מילוי + פקק</v>
      </c>
      <c r="E45" s="7">
        <v>28</v>
      </c>
      <c r="F45" s="7">
        <f>_xlfn.XLOOKUP(_xlfn.XLOOKUP(Table1[[#This Row],[מק"ט]],PRODUCTS!A:A,PRODUCTS!E:E,""),SUPPLIERS!A:A,SUPPLIERS!C:C,"")</f>
        <v>3</v>
      </c>
      <c r="G45" s="7">
        <f>_xlfn.XLOOKUP(_xlfn.XLOOKUP(Table1[[#This Row],[מק"ט]],PRODUCTS!A:A,PRODUCTS!E:E,""),SUPPLIERS!A:A,SUPPLIERS!D:D,"")</f>
        <v>55</v>
      </c>
      <c r="H45" s="1">
        <v>3.9277877487319546</v>
      </c>
      <c r="I45" s="25">
        <f>Table1[[#This Row],[Predicted_Demand (Daily)]]*Table1[[#This Row],[זמן אספקה]]+1.65*6</f>
        <v>21.68336324619586</v>
      </c>
      <c r="J45" s="8">
        <f>INT(SQRT((2*365*Table1[[#This Row],[Predicted_Demand (Daily)]]*Table1[[#This Row],[עלות ההזמנה]])/(_xlfn.XLOOKUP(C:C,PRODUCTS!A:A,PRODUCTS!F:F))))</f>
        <v>56</v>
      </c>
      <c r="K45" s="7" t="str">
        <f>IF(Table1[[#This Row],[כמות במלאי]]&gt;Table1[[#This Row],[Reorder Point]],"Ok","Reorder")</f>
        <v>Ok</v>
      </c>
      <c r="L45" s="30"/>
    </row>
    <row r="46" spans="3:12" x14ac:dyDescent="0.45">
      <c r="C46" s="15">
        <v>7290108359077</v>
      </c>
      <c r="D46" s="7" t="str">
        <f>_xlfn.XLOOKUP(Table1[[#This Row],[מק"ט]],PRODUCTS!A:A,PRODUCTS!B:B,"")</f>
        <v>סופט לושן ממחטות אף 3 שכבות עשירות בלחות</v>
      </c>
      <c r="E46" s="7">
        <v>24</v>
      </c>
      <c r="F46" s="7">
        <f>_xlfn.XLOOKUP(_xlfn.XLOOKUP(Table1[[#This Row],[מק"ט]],PRODUCTS!A:A,PRODUCTS!E:E,""),SUPPLIERS!A:A,SUPPLIERS!C:C,"")</f>
        <v>3</v>
      </c>
      <c r="G46" s="7">
        <f>_xlfn.XLOOKUP(_xlfn.XLOOKUP(Table1[[#This Row],[מק"ט]],PRODUCTS!A:A,PRODUCTS!E:E,""),SUPPLIERS!A:A,SUPPLIERS!D:D,"")</f>
        <v>55</v>
      </c>
      <c r="H46" s="1">
        <v>2.3200078033554425</v>
      </c>
      <c r="I46" s="25">
        <f>Table1[[#This Row],[Predicted_Demand (Daily)]]*Table1[[#This Row],[זמן אספקה]]+1.65*6</f>
        <v>16.860023410066326</v>
      </c>
      <c r="J46" s="8">
        <f>INT(SQRT((2*365*Table1[[#This Row],[Predicted_Demand (Daily)]]*Table1[[#This Row],[עלות ההזמנה]])/(_xlfn.XLOOKUP(C:C,PRODUCTS!A:A,PRODUCTS!F:F))))</f>
        <v>43</v>
      </c>
      <c r="K46" s="7" t="str">
        <f>IF(Table1[[#This Row],[כמות במלאי]]&gt;Table1[[#This Row],[Reorder Point]],"Ok","Reorder")</f>
        <v>Ok</v>
      </c>
    </row>
    <row r="47" spans="3:12" x14ac:dyDescent="0.45">
      <c r="C47" s="11">
        <v>7290108359176</v>
      </c>
      <c r="D47" s="7" t="str">
        <f>_xlfn.XLOOKUP(Table1[[#This Row],[מק"ט]],PRODUCTS!A:A,PRODUCTS!B:B,"")</f>
        <v>סופט לושן ממחטות אף 3 שכבות עשירות בלחות לושן מארז צמד 2X100</v>
      </c>
      <c r="E47" s="7">
        <v>27</v>
      </c>
      <c r="F47" s="7">
        <f>_xlfn.XLOOKUP(_xlfn.XLOOKUP(Table1[[#This Row],[מק"ט]],PRODUCTS!A:A,PRODUCTS!E:E,""),SUPPLIERS!A:A,SUPPLIERS!C:C,"")</f>
        <v>3</v>
      </c>
      <c r="G47" s="7">
        <f>_xlfn.XLOOKUP(_xlfn.XLOOKUP(Table1[[#This Row],[מק"ט]],PRODUCTS!A:A,PRODUCTS!E:E,""),SUPPLIERS!A:A,SUPPLIERS!D:D,"")</f>
        <v>55</v>
      </c>
      <c r="H47" s="1">
        <v>2.3031369488880218</v>
      </c>
      <c r="I47" s="25">
        <f>Table1[[#This Row],[Predicted_Demand (Daily)]]*Table1[[#This Row],[זמן אספקה]]+1.65*6</f>
        <v>16.809410846664065</v>
      </c>
      <c r="J47" s="8">
        <f>INT(SQRT((2*365*Table1[[#This Row],[Predicted_Demand (Daily)]]*Table1[[#This Row],[עלות ההזמנה]])/(_xlfn.XLOOKUP(C:C,PRODUCTS!A:A,PRODUCTS!F:F))))</f>
        <v>43</v>
      </c>
      <c r="K47" s="7" t="str">
        <f>IF(Table1[[#This Row],[כמות במלאי]]&gt;Table1[[#This Row],[Reorder Point]],"Ok","Reorder")</f>
        <v>Ok</v>
      </c>
    </row>
    <row r="48" spans="3:12" x14ac:dyDescent="0.45">
      <c r="C48" s="15">
        <v>7290108359190</v>
      </c>
      <c r="D48" s="7" t="str">
        <f>_xlfn.XLOOKUP(Table1[[#This Row],[מק"ט]],PRODUCTS!A:A,PRODUCTS!B:B,"")</f>
        <v>סנו סושי מגבות נייר4 גלילים ארוכים פי 3 = 12 גלילים</v>
      </c>
      <c r="E48" s="7">
        <v>26</v>
      </c>
      <c r="F48" s="7">
        <f>_xlfn.XLOOKUP(_xlfn.XLOOKUP(Table1[[#This Row],[מק"ט]],PRODUCTS!A:A,PRODUCTS!E:E,""),SUPPLIERS!A:A,SUPPLIERS!C:C,"")</f>
        <v>3</v>
      </c>
      <c r="G48" s="7">
        <f>_xlfn.XLOOKUP(_xlfn.XLOOKUP(Table1[[#This Row],[מק"ט]],PRODUCTS!A:A,PRODUCTS!E:E,""),SUPPLIERS!A:A,SUPPLIERS!D:D,"")</f>
        <v>55</v>
      </c>
      <c r="H48" s="1">
        <v>2.331720639875146</v>
      </c>
      <c r="I48" s="25">
        <f>Table1[[#This Row],[Predicted_Demand (Daily)]]*Table1[[#This Row],[זמן אספקה]]+1.65*6</f>
        <v>16.895161919625437</v>
      </c>
      <c r="J48" s="8">
        <f>INT(SQRT((2*365*Table1[[#This Row],[Predicted_Demand (Daily)]]*Table1[[#This Row],[עלות ההזמנה]])/(_xlfn.XLOOKUP(C:C,PRODUCTS!A:A,PRODUCTS!F:F))))</f>
        <v>43</v>
      </c>
      <c r="K48" s="7" t="str">
        <f>IF(Table1[[#This Row],[כמות במלאי]]&gt;Table1[[#This Row],[Reorder Point]],"Ok","Reorder")</f>
        <v>Ok</v>
      </c>
      <c r="L48" s="31"/>
    </row>
    <row r="49" spans="3:12" x14ac:dyDescent="0.45">
      <c r="C49" s="13">
        <v>8001090184375</v>
      </c>
      <c r="D49" s="7" t="str">
        <f>_xlfn.XLOOKUP(Table1[[#This Row],[מק"ט]],PRODUCTS!A:A,PRODUCTS!B:B,"")</f>
        <v>נוזל כלים פיירי אוריגינל</v>
      </c>
      <c r="E49" s="7">
        <v>54</v>
      </c>
      <c r="F49" s="7">
        <f>_xlfn.XLOOKUP(_xlfn.XLOOKUP(Table1[[#This Row],[מק"ט]],PRODUCTS!A:A,PRODUCTS!E:E,""),SUPPLIERS!A:A,SUPPLIERS!C:C,"")</f>
        <v>3</v>
      </c>
      <c r="G49" s="7">
        <f>_xlfn.XLOOKUP(_xlfn.XLOOKUP(Table1[[#This Row],[מק"ט]],PRODUCTS!A:A,PRODUCTS!E:E,""),SUPPLIERS!A:A,SUPPLIERS!D:D,"")</f>
        <v>55</v>
      </c>
      <c r="H49" s="1">
        <v>3.0193952399531798</v>
      </c>
      <c r="I49" s="25">
        <f>Table1[[#This Row],[Predicted_Demand (Daily)]]*Table1[[#This Row],[זמן אספקה]]+1.65*6</f>
        <v>18.958185719859536</v>
      </c>
      <c r="J49" s="8">
        <f>INT(SQRT((2*365*Table1[[#This Row],[Predicted_Demand (Daily)]]*Table1[[#This Row],[עלות ההזמנה]])/(_xlfn.XLOOKUP(C:C,PRODUCTS!A:A,PRODUCTS!F:F))))</f>
        <v>49</v>
      </c>
      <c r="K49" s="7" t="str">
        <f>IF(Table1[[#This Row],[כמות במלאי]]&gt;Table1[[#This Row],[Reorder Point]],"Ok","Reorder")</f>
        <v>Ok</v>
      </c>
    </row>
    <row r="50" spans="3:12" x14ac:dyDescent="0.45">
      <c r="C50" s="13">
        <v>8001090184412</v>
      </c>
      <c r="D50" s="7" t="str">
        <f>_xlfn.XLOOKUP(Table1[[#This Row],[מק"ט]],PRODUCTS!A:A,PRODUCTS!B:B,"")</f>
        <v>נוזל כלים פיירי לימון</v>
      </c>
      <c r="E50" s="7">
        <v>96</v>
      </c>
      <c r="F50" s="7">
        <f>_xlfn.XLOOKUP(_xlfn.XLOOKUP(Table1[[#This Row],[מק"ט]],PRODUCTS!A:A,PRODUCTS!E:E,""),SUPPLIERS!A:A,SUPPLIERS!C:C,"")</f>
        <v>3</v>
      </c>
      <c r="G50" s="7">
        <f>_xlfn.XLOOKUP(_xlfn.XLOOKUP(Table1[[#This Row],[מק"ט]],PRODUCTS!A:A,PRODUCTS!E:E,""),SUPPLIERS!A:A,SUPPLIERS!D:D,"")</f>
        <v>55</v>
      </c>
      <c r="H50" s="1">
        <v>7.3888880218493957</v>
      </c>
      <c r="I50" s="25">
        <f>Table1[[#This Row],[Predicted_Demand (Daily)]]*Table1[[#This Row],[זמן אספקה]]+1.65*6</f>
        <v>32.066664065548181</v>
      </c>
      <c r="J50" s="8">
        <f>INT(SQRT((2*365*Table1[[#This Row],[Predicted_Demand (Daily)]]*Table1[[#This Row],[עלות ההזמנה]])/(_xlfn.XLOOKUP(C:C,PRODUCTS!A:A,PRODUCTS!F:F))))</f>
        <v>77</v>
      </c>
      <c r="K50" s="7" t="str">
        <f>IF(Table1[[#This Row],[כמות במלאי]]&gt;Table1[[#This Row],[Reorder Point]],"Ok","Reorder")</f>
        <v>Ok</v>
      </c>
      <c r="L50" s="30"/>
    </row>
    <row r="51" spans="3:12" x14ac:dyDescent="0.45">
      <c r="C51" s="13">
        <v>8001841625362</v>
      </c>
      <c r="D51" s="7" t="str">
        <f>_xlfn.XLOOKUP(Table1[[#This Row],[מק"ט]],PRODUCTS!A:A,PRODUCTS!B:B,"")</f>
        <v>פיירי פלטינום לימון 780 מ"ל</v>
      </c>
      <c r="E51" s="7">
        <v>50</v>
      </c>
      <c r="F51" s="7">
        <f>_xlfn.XLOOKUP(_xlfn.XLOOKUP(Table1[[#This Row],[מק"ט]],PRODUCTS!A:A,PRODUCTS!E:E,""),SUPPLIERS!A:A,SUPPLIERS!C:C,"")</f>
        <v>3</v>
      </c>
      <c r="G51" s="7">
        <f>_xlfn.XLOOKUP(_xlfn.XLOOKUP(Table1[[#This Row],[מק"ט]],PRODUCTS!A:A,PRODUCTS!E:E,""),SUPPLIERS!A:A,SUPPLIERS!D:D,"")</f>
        <v>55</v>
      </c>
      <c r="H51" s="1">
        <v>3.3947444401092439</v>
      </c>
      <c r="I51" s="25">
        <f>Table1[[#This Row],[Predicted_Demand (Daily)]]*Table1[[#This Row],[זמן אספקה]]+1.65*6</f>
        <v>20.08423332032773</v>
      </c>
      <c r="J51" s="8">
        <f>INT(SQRT((2*365*Table1[[#This Row],[Predicted_Demand (Daily)]]*Table1[[#This Row],[עלות ההזמנה]])/(_xlfn.XLOOKUP(C:C,PRODUCTS!A:A,PRODUCTS!F:F))))</f>
        <v>52</v>
      </c>
      <c r="K51" s="7" t="str">
        <f>IF(Table1[[#This Row],[כמות במלאי]]&gt;Table1[[#This Row],[Reorder Point]],"Ok","Reorder")</f>
        <v>Ok</v>
      </c>
    </row>
    <row r="52" spans="3:12" x14ac:dyDescent="0.45">
      <c r="C52" s="13">
        <v>8001841893990</v>
      </c>
      <c r="D52" s="7" t="str">
        <f>_xlfn.XLOOKUP(Table1[[#This Row],[מק"ט]],PRODUCTS!A:A,PRODUCTS!B:B,"")</f>
        <v>פיירי קפסולות למדיח פלטינום 30 יח'</v>
      </c>
      <c r="E52" s="7">
        <v>28</v>
      </c>
      <c r="F52" s="7">
        <f>_xlfn.XLOOKUP(_xlfn.XLOOKUP(Table1[[#This Row],[מק"ט]],PRODUCTS!A:A,PRODUCTS!E:E,""),SUPPLIERS!A:A,SUPPLIERS!C:C,"")</f>
        <v>3</v>
      </c>
      <c r="G52" s="7">
        <f>_xlfn.XLOOKUP(_xlfn.XLOOKUP(Table1[[#This Row],[מק"ט]],PRODUCTS!A:A,PRODUCTS!E:E,""),SUPPLIERS!A:A,SUPPLIERS!D:D,"")</f>
        <v>55</v>
      </c>
      <c r="H52" s="1">
        <v>2.4460554038236442</v>
      </c>
      <c r="I52" s="25">
        <f>Table1[[#This Row],[Predicted_Demand (Daily)]]*Table1[[#This Row],[זמן אספקה]]+1.65*6</f>
        <v>17.238166211470933</v>
      </c>
      <c r="J52" s="8">
        <f>INT(SQRT((2*365*Table1[[#This Row],[Predicted_Demand (Daily)]]*Table1[[#This Row],[עלות ההזמנה]])/(_xlfn.XLOOKUP(C:C,PRODUCTS!A:A,PRODUCTS!F:F))))</f>
        <v>44</v>
      </c>
      <c r="K52" s="7" t="str">
        <f>IF(Table1[[#This Row],[כמות במלאי]]&gt;Table1[[#This Row],[Reorder Point]],"Ok","Reorder")</f>
        <v>Ok</v>
      </c>
      <c r="L52" s="31"/>
    </row>
    <row r="53" spans="3:12" x14ac:dyDescent="0.45">
      <c r="C53" s="13">
        <v>8006540429327</v>
      </c>
      <c r="D53" s="7" t="str">
        <f>_xlfn.XLOOKUP(Table1[[#This Row],[מק"ט]],PRODUCTS!A:A,PRODUCTS!B:B,"")</f>
        <v>פיירי לימון 440 מ"ל</v>
      </c>
      <c r="E53" s="7">
        <v>19</v>
      </c>
      <c r="F53" s="7">
        <f>_xlfn.XLOOKUP(_xlfn.XLOOKUP(Table1[[#This Row],[מק"ט]],PRODUCTS!A:A,PRODUCTS!E:E,""),SUPPLIERS!A:A,SUPPLIERS!C:C,"")</f>
        <v>3</v>
      </c>
      <c r="G53" s="7">
        <f>_xlfn.XLOOKUP(_xlfn.XLOOKUP(Table1[[#This Row],[מק"ט]],PRODUCTS!A:A,PRODUCTS!E:E,""),SUPPLIERS!A:A,SUPPLIERS!D:D,"")</f>
        <v>55</v>
      </c>
      <c r="H53" s="1">
        <v>7.4519118220834955</v>
      </c>
      <c r="I53" s="25">
        <f>Table1[[#This Row],[Predicted_Demand (Daily)]]*Table1[[#This Row],[זמן אספקה]]+1.65*6</f>
        <v>32.255735466250485</v>
      </c>
      <c r="J53" s="8">
        <f>INT(SQRT((2*365*Table1[[#This Row],[Predicted_Demand (Daily)]]*Table1[[#This Row],[עלות ההזמנה]])/(_xlfn.XLOOKUP(C:C,PRODUCTS!A:A,PRODUCTS!F:F))))</f>
        <v>77</v>
      </c>
      <c r="K53" s="7" t="str">
        <f>IF(Table1[[#This Row],[כמות במלאי]]&gt;Table1[[#This Row],[Reorder Point]],"Ok","Reorder")</f>
        <v>Reorder</v>
      </c>
      <c r="L53" s="30"/>
    </row>
    <row r="54" spans="3:12" x14ac:dyDescent="0.45">
      <c r="C54" s="13">
        <v>8700216163811</v>
      </c>
      <c r="D54" s="7" t="str">
        <f>_xlfn.XLOOKUP(Table1[[#This Row],[מק"ט]],PRODUCTS!A:A,PRODUCTS!B:B,"")</f>
        <v>פיירי לימון  1.19 ליטר</v>
      </c>
      <c r="E54" s="7">
        <v>23</v>
      </c>
      <c r="F54" s="7">
        <f>_xlfn.XLOOKUP(_xlfn.XLOOKUP(Table1[[#This Row],[מק"ט]],PRODUCTS!A:A,PRODUCTS!E:E,""),SUPPLIERS!A:A,SUPPLIERS!C:C,"")</f>
        <v>3</v>
      </c>
      <c r="G54" s="7">
        <f>_xlfn.XLOOKUP(_xlfn.XLOOKUP(Table1[[#This Row],[מק"ט]],PRODUCTS!A:A,PRODUCTS!E:E,""),SUPPLIERS!A:A,SUPPLIERS!D:D,"")</f>
        <v>55</v>
      </c>
      <c r="H54" s="1">
        <v>7.4123136948888027</v>
      </c>
      <c r="I54" s="25">
        <f>Table1[[#This Row],[Predicted_Demand (Daily)]]*Table1[[#This Row],[זמן אספקה]]+1.65*6</f>
        <v>32.136941084666404</v>
      </c>
      <c r="J54" s="8">
        <f>INT(SQRT((2*365*Table1[[#This Row],[Predicted_Demand (Daily)]]*Table1[[#This Row],[עלות ההזמנה]])/(_xlfn.XLOOKUP(C:C,PRODUCTS!A:A,PRODUCTS!F:F))))</f>
        <v>77</v>
      </c>
      <c r="K54" s="7" t="str">
        <f>IF(Table1[[#This Row],[כמות במלאי]]&gt;Table1[[#This Row],[Reorder Point]],"Ok","Reorder")</f>
        <v>Reorder</v>
      </c>
      <c r="L54" s="30"/>
    </row>
    <row r="55" spans="3:12" x14ac:dyDescent="0.45">
      <c r="C55" s="13">
        <v>8700216236034</v>
      </c>
      <c r="D55" s="7" t="str">
        <f>_xlfn.XLOOKUP(Table1[[#This Row],[מק"ט]],PRODUCTS!A:A,PRODUCTS!B:B,"")</f>
        <v>פיירי קפסולות למדיח פלטינום+דיפ קלי 40יח</v>
      </c>
      <c r="E55" s="7">
        <v>56</v>
      </c>
      <c r="F55" s="7">
        <f>_xlfn.XLOOKUP(_xlfn.XLOOKUP(Table1[[#This Row],[מק"ט]],PRODUCTS!A:A,PRODUCTS!E:E,""),SUPPLIERS!A:A,SUPPLIERS!C:C,"")</f>
        <v>3</v>
      </c>
      <c r="G55" s="7">
        <f>_xlfn.XLOOKUP(_xlfn.XLOOKUP(Table1[[#This Row],[מק"ט]],PRODUCTS!A:A,PRODUCTS!E:E,""),SUPPLIERS!A:A,SUPPLIERS!D:D,"")</f>
        <v>55</v>
      </c>
      <c r="H55" s="1">
        <v>3.2590792040577448</v>
      </c>
      <c r="I55" s="25">
        <f>Table1[[#This Row],[Predicted_Demand (Daily)]]*Table1[[#This Row],[זמן אספקה]]+1.65*6</f>
        <v>19.677237612173233</v>
      </c>
      <c r="J55" s="8">
        <f>INT(SQRT((2*365*Table1[[#This Row],[Predicted_Demand (Daily)]]*Table1[[#This Row],[עלות ההזמנה]])/(_xlfn.XLOOKUP(C:C,PRODUCTS!A:A,PRODUCTS!F:F))))</f>
        <v>51</v>
      </c>
      <c r="K55" s="7" t="str">
        <f>IF(Table1[[#This Row],[כמות במלאי]]&gt;Table1[[#This Row],[Reorder Point]],"Ok","Reorder")</f>
        <v>Ok</v>
      </c>
    </row>
    <row r="56" spans="3:12" x14ac:dyDescent="0.45">
      <c r="C56" s="13">
        <v>8700216236751</v>
      </c>
      <c r="D56" s="7" t="str">
        <f>_xlfn.XLOOKUP(Table1[[#This Row],[מק"ט]],PRODUCTS!A:A,PRODUCTS!B:B,"")</f>
        <v>פיירי 96 טבליות פלטינום</v>
      </c>
      <c r="E56" s="7">
        <v>49</v>
      </c>
      <c r="F56" s="7">
        <f>_xlfn.XLOOKUP(_xlfn.XLOOKUP(Table1[[#This Row],[מק"ט]],PRODUCTS!A:A,PRODUCTS!E:E,""),SUPPLIERS!A:A,SUPPLIERS!C:C,"")</f>
        <v>3</v>
      </c>
      <c r="G56" s="7">
        <f>_xlfn.XLOOKUP(_xlfn.XLOOKUP(Table1[[#This Row],[מק"ט]],PRODUCTS!A:A,PRODUCTS!E:E,""),SUPPLIERS!A:A,SUPPLIERS!D:D,"")</f>
        <v>55</v>
      </c>
      <c r="H56" s="1">
        <v>3.6285719859539567</v>
      </c>
      <c r="I56" s="25">
        <f>Table1[[#This Row],[Predicted_Demand (Daily)]]*Table1[[#This Row],[זמן אספקה]]+1.65*6</f>
        <v>20.785715957861868</v>
      </c>
      <c r="J56" s="8">
        <f>INT(SQRT((2*365*Table1[[#This Row],[Predicted_Demand (Daily)]]*Table1[[#This Row],[עלות ההזמנה]])/(_xlfn.XLOOKUP(C:C,PRODUCTS!A:A,PRODUCTS!F:F))))</f>
        <v>53</v>
      </c>
      <c r="K56" s="7" t="str">
        <f>IF(Table1[[#This Row],[כמות במלאי]]&gt;Table1[[#This Row],[Reorder Point]],"Ok","Reorder")</f>
        <v>Ok</v>
      </c>
    </row>
  </sheetData>
  <mergeCells count="4">
    <mergeCell ref="A8:A9"/>
    <mergeCell ref="A10:A11"/>
    <mergeCell ref="A12:A13"/>
    <mergeCell ref="A14:A15"/>
  </mergeCells>
  <phoneticPr fontId="1" type="noConversion"/>
  <conditionalFormatting sqref="K58:K1048576 K7:K56">
    <cfRule type="cellIs" dxfId="24" priority="1" operator="equal">
      <formula>"Reorder"</formula>
    </cfRule>
  </conditionalFormatting>
  <hyperlinks>
    <hyperlink ref="A8:A9" location="PURCHASES!A1" display="Purchases" xr:uid="{215B69A3-4E1A-4252-8128-9A525EB189A6}"/>
    <hyperlink ref="A10:A11" location="'SALES ORDER'!A1" display="Sales Order" xr:uid="{6B054A4B-C495-4401-AE7F-3422C8DFCC26}"/>
    <hyperlink ref="A12:A13" location="SUPPLIERS!A1" display="Suppliers" xr:uid="{16201B90-C624-4920-A59A-B32CEBD9B73A}"/>
    <hyperlink ref="A14:A15" location="CUSTOMERS!A1" display="Customers" xr:uid="{F665DF00-9101-4BE3-AE51-691623314DDF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D31-D29F-4188-8ADF-B73AB7BF9727}">
  <sheetPr codeName="Sheet3"/>
  <dimension ref="A1:D160"/>
  <sheetViews>
    <sheetView zoomScale="145" zoomScaleNormal="145" workbookViewId="0"/>
  </sheetViews>
  <sheetFormatPr defaultRowHeight="14.25" x14ac:dyDescent="0.45"/>
  <cols>
    <col min="1" max="1" width="21.86328125" style="29" bestFit="1" customWidth="1"/>
    <col min="2" max="2" width="13.796875" bestFit="1" customWidth="1"/>
    <col min="3" max="3" width="10.796875" customWidth="1"/>
    <col min="4" max="4" width="14" customWidth="1"/>
    <col min="7" max="7" width="12.46484375" bestFit="1" customWidth="1"/>
    <col min="8" max="8" width="19.796875" bestFit="1" customWidth="1"/>
    <col min="9" max="12" width="5.1328125" bestFit="1" customWidth="1"/>
    <col min="13" max="13" width="10.53125" bestFit="1" customWidth="1"/>
  </cols>
  <sheetData>
    <row r="1" spans="1:4" x14ac:dyDescent="0.45">
      <c r="A1" s="29" t="s">
        <v>14</v>
      </c>
      <c r="B1" t="s">
        <v>0</v>
      </c>
      <c r="C1" t="s">
        <v>3</v>
      </c>
      <c r="D1" t="s">
        <v>9</v>
      </c>
    </row>
    <row r="2" spans="1:4" x14ac:dyDescent="0.45">
      <c r="A2" s="29">
        <v>45809</v>
      </c>
      <c r="B2" s="13">
        <v>4084500088917</v>
      </c>
      <c r="C2" t="str">
        <f>_xlfn.XLOOKUP(B:B,PRODUCTS!A:A,PRODUCTS!E:E,"")</f>
        <v>S003</v>
      </c>
      <c r="D2">
        <v>58</v>
      </c>
    </row>
    <row r="3" spans="1:4" x14ac:dyDescent="0.45">
      <c r="A3" s="29">
        <v>45809</v>
      </c>
      <c r="B3" s="13">
        <v>4084500853836</v>
      </c>
      <c r="C3" t="str">
        <f>_xlfn.XLOOKUP(B:B,PRODUCTS!A:A,PRODUCTS!E:E,"")</f>
        <v>S003</v>
      </c>
      <c r="D3">
        <v>58</v>
      </c>
    </row>
    <row r="4" spans="1:4" x14ac:dyDescent="0.45">
      <c r="A4" s="29">
        <v>45809</v>
      </c>
      <c r="B4" s="13">
        <v>7290000286921</v>
      </c>
      <c r="C4" t="str">
        <f>_xlfn.XLOOKUP(B:B,PRODUCTS!A:A,PRODUCTS!E:E,"")</f>
        <v>S001</v>
      </c>
      <c r="D4">
        <v>31</v>
      </c>
    </row>
    <row r="5" spans="1:4" x14ac:dyDescent="0.45">
      <c r="A5" s="29">
        <v>45809</v>
      </c>
      <c r="B5" s="13">
        <v>7290000288024</v>
      </c>
      <c r="C5" t="str">
        <f>_xlfn.XLOOKUP(B:B,PRODUCTS!A:A,PRODUCTS!E:E,"")</f>
        <v>S001</v>
      </c>
      <c r="D5">
        <v>59</v>
      </c>
    </row>
    <row r="6" spans="1:4" x14ac:dyDescent="0.45">
      <c r="A6" s="29">
        <v>45809</v>
      </c>
      <c r="B6" s="13">
        <v>7290000288307</v>
      </c>
      <c r="C6" t="str">
        <f>_xlfn.XLOOKUP(B:B,PRODUCTS!A:A,PRODUCTS!E:E,"")</f>
        <v>S001</v>
      </c>
      <c r="D6">
        <v>30</v>
      </c>
    </row>
    <row r="7" spans="1:4" x14ac:dyDescent="0.45">
      <c r="A7" s="29">
        <v>45809</v>
      </c>
      <c r="B7" s="13">
        <v>7290000288659</v>
      </c>
      <c r="C7" t="str">
        <f>_xlfn.XLOOKUP(B:B,PRODUCTS!A:A,PRODUCTS!E:E,"")</f>
        <v>S001</v>
      </c>
      <c r="D7">
        <v>30</v>
      </c>
    </row>
    <row r="8" spans="1:4" x14ac:dyDescent="0.45">
      <c r="A8" s="29">
        <v>45809</v>
      </c>
      <c r="B8" s="13">
        <v>7290000292915</v>
      </c>
      <c r="C8" t="str">
        <f>_xlfn.XLOOKUP(B:B,PRODUCTS!A:A,PRODUCTS!E:E,"")</f>
        <v>S001</v>
      </c>
      <c r="D8">
        <v>39</v>
      </c>
    </row>
    <row r="9" spans="1:4" x14ac:dyDescent="0.45">
      <c r="A9" s="29">
        <v>45809</v>
      </c>
      <c r="B9" s="13">
        <v>7290000294780</v>
      </c>
      <c r="C9" t="str">
        <f>_xlfn.XLOOKUP(B:B,PRODUCTS!A:A,PRODUCTS!E:E,"")</f>
        <v>S001</v>
      </c>
      <c r="D9">
        <v>58</v>
      </c>
    </row>
    <row r="10" spans="1:4" x14ac:dyDescent="0.45">
      <c r="A10" s="29">
        <v>45809</v>
      </c>
      <c r="B10" s="13">
        <v>7290000295367</v>
      </c>
      <c r="C10" t="str">
        <f>_xlfn.XLOOKUP(B:B,PRODUCTS!A:A,PRODUCTS!E:E,"")</f>
        <v>S001</v>
      </c>
      <c r="D10">
        <v>37</v>
      </c>
    </row>
    <row r="11" spans="1:4" x14ac:dyDescent="0.45">
      <c r="A11" s="29">
        <v>45809</v>
      </c>
      <c r="B11" s="13">
        <v>7290000295541</v>
      </c>
      <c r="C11" t="str">
        <f>_xlfn.XLOOKUP(B:B,PRODUCTS!A:A,PRODUCTS!E:E,"")</f>
        <v>S001</v>
      </c>
      <c r="D11">
        <v>30</v>
      </c>
    </row>
    <row r="12" spans="1:4" x14ac:dyDescent="0.45">
      <c r="A12" s="29">
        <v>45809</v>
      </c>
      <c r="B12" s="13">
        <v>7290001246610</v>
      </c>
      <c r="C12" t="str">
        <f>_xlfn.XLOOKUP(B:B,PRODUCTS!A:A,PRODUCTS!E:E,"")</f>
        <v>S002</v>
      </c>
      <c r="D12">
        <v>37</v>
      </c>
    </row>
    <row r="13" spans="1:4" x14ac:dyDescent="0.45">
      <c r="A13" s="29">
        <v>45809</v>
      </c>
      <c r="B13" s="13">
        <v>7290005424700</v>
      </c>
      <c r="C13" t="str">
        <f>_xlfn.XLOOKUP(B:B,PRODUCTS!A:A,PRODUCTS!E:E,"")</f>
        <v>S001</v>
      </c>
      <c r="D13">
        <v>39</v>
      </c>
    </row>
    <row r="14" spans="1:4" x14ac:dyDescent="0.45">
      <c r="A14" s="29">
        <v>45809</v>
      </c>
      <c r="B14" s="13">
        <v>7290005425110</v>
      </c>
      <c r="C14" t="str">
        <f>_xlfn.XLOOKUP(B:B,PRODUCTS!A:A,PRODUCTS!E:E,"")</f>
        <v>S001</v>
      </c>
      <c r="D14">
        <v>38</v>
      </c>
    </row>
    <row r="15" spans="1:4" x14ac:dyDescent="0.45">
      <c r="A15" s="29">
        <v>45809</v>
      </c>
      <c r="B15" s="13">
        <v>7290005425196</v>
      </c>
      <c r="C15" t="str">
        <f>_xlfn.XLOOKUP(B:B,PRODUCTS!A:A,PRODUCTS!E:E,"")</f>
        <v>S001</v>
      </c>
      <c r="D15">
        <v>37</v>
      </c>
    </row>
    <row r="16" spans="1:4" x14ac:dyDescent="0.45">
      <c r="A16" s="29">
        <v>45809</v>
      </c>
      <c r="B16" s="11">
        <v>7290012116025</v>
      </c>
      <c r="C16" t="str">
        <f>_xlfn.XLOOKUP(B:B,PRODUCTS!A:A,PRODUCTS!E:E,"")</f>
        <v>S003</v>
      </c>
      <c r="D16">
        <v>39</v>
      </c>
    </row>
    <row r="17" spans="1:4" x14ac:dyDescent="0.45">
      <c r="A17" s="29">
        <v>45809</v>
      </c>
      <c r="B17" s="11">
        <v>7290012117534</v>
      </c>
      <c r="C17" t="str">
        <f>_xlfn.XLOOKUP(B:B,PRODUCTS!A:A,PRODUCTS!E:E,"")</f>
        <v>S001</v>
      </c>
      <c r="D17">
        <v>37</v>
      </c>
    </row>
    <row r="18" spans="1:4" x14ac:dyDescent="0.45">
      <c r="A18" s="29">
        <v>45809</v>
      </c>
      <c r="B18" s="11">
        <v>7290013268204</v>
      </c>
      <c r="C18" t="str">
        <f>_xlfn.XLOOKUP(B:B,PRODUCTS!A:A,PRODUCTS!E:E,"")</f>
        <v>S001</v>
      </c>
      <c r="D18">
        <v>30</v>
      </c>
    </row>
    <row r="19" spans="1:4" x14ac:dyDescent="0.45">
      <c r="A19" s="29">
        <v>45809</v>
      </c>
      <c r="B19" s="11">
        <v>7290013268891</v>
      </c>
      <c r="C19" t="str">
        <f>_xlfn.XLOOKUP(B:B,PRODUCTS!A:A,PRODUCTS!E:E,"")</f>
        <v>S001</v>
      </c>
      <c r="D19">
        <v>37</v>
      </c>
    </row>
    <row r="20" spans="1:4" x14ac:dyDescent="0.45">
      <c r="A20" s="29">
        <v>45809</v>
      </c>
      <c r="B20" s="11">
        <v>7290013269003</v>
      </c>
      <c r="C20" t="str">
        <f>_xlfn.XLOOKUP(B:B,PRODUCTS!A:A,PRODUCTS!E:E,"")</f>
        <v>S001</v>
      </c>
      <c r="D20">
        <v>37</v>
      </c>
    </row>
    <row r="21" spans="1:4" x14ac:dyDescent="0.45">
      <c r="A21" s="29">
        <v>45809</v>
      </c>
      <c r="B21" s="11">
        <v>7290014397453</v>
      </c>
      <c r="C21" t="str">
        <f>_xlfn.XLOOKUP(B:B,PRODUCTS!A:A,PRODUCTS!E:E,"")</f>
        <v>S001</v>
      </c>
      <c r="D21">
        <v>37</v>
      </c>
    </row>
    <row r="22" spans="1:4" x14ac:dyDescent="0.45">
      <c r="A22" s="29">
        <v>45809</v>
      </c>
      <c r="B22" s="14">
        <v>7290019274483</v>
      </c>
      <c r="C22" t="str">
        <f>_xlfn.XLOOKUP(B:B,PRODUCTS!A:A,PRODUCTS!E:E,"")</f>
        <v>S002</v>
      </c>
      <c r="D22">
        <v>37</v>
      </c>
    </row>
    <row r="23" spans="1:4" x14ac:dyDescent="0.45">
      <c r="A23" s="29">
        <v>45809</v>
      </c>
      <c r="B23" s="14">
        <v>7290019274490</v>
      </c>
      <c r="C23" t="str">
        <f>_xlfn.XLOOKUP(B:B,PRODUCTS!A:A,PRODUCTS!E:E,"")</f>
        <v>S002</v>
      </c>
      <c r="D23">
        <v>37</v>
      </c>
    </row>
    <row r="24" spans="1:4" x14ac:dyDescent="0.45">
      <c r="A24" s="29">
        <v>45809</v>
      </c>
      <c r="B24" s="14">
        <v>7290019611325</v>
      </c>
      <c r="C24" t="str">
        <f>_xlfn.XLOOKUP(B:B,PRODUCTS!A:A,PRODUCTS!E:E,"")</f>
        <v>S002</v>
      </c>
      <c r="D24">
        <v>37</v>
      </c>
    </row>
    <row r="25" spans="1:4" x14ac:dyDescent="0.45">
      <c r="A25" s="29">
        <v>45809</v>
      </c>
      <c r="B25" s="14">
        <v>7290103702489</v>
      </c>
      <c r="C25" t="str">
        <f>_xlfn.XLOOKUP(B:B,PRODUCTS!A:A,PRODUCTS!E:E,"")</f>
        <v>S002</v>
      </c>
      <c r="D25">
        <v>58</v>
      </c>
    </row>
    <row r="26" spans="1:4" x14ac:dyDescent="0.45">
      <c r="A26" s="29">
        <v>45809</v>
      </c>
      <c r="B26" s="14">
        <v>7290103703370</v>
      </c>
      <c r="C26" t="str">
        <f>_xlfn.XLOOKUP(B:B,PRODUCTS!A:A,PRODUCTS!E:E,"")</f>
        <v>S002</v>
      </c>
      <c r="D26">
        <v>58</v>
      </c>
    </row>
    <row r="27" spans="1:4" x14ac:dyDescent="0.45">
      <c r="A27" s="29">
        <v>45809</v>
      </c>
      <c r="B27" s="14">
        <v>7290103704155</v>
      </c>
      <c r="C27" t="str">
        <f>_xlfn.XLOOKUP(B:B,PRODUCTS!A:A,PRODUCTS!E:E,"")</f>
        <v>S002</v>
      </c>
      <c r="D27">
        <v>58</v>
      </c>
    </row>
    <row r="28" spans="1:4" x14ac:dyDescent="0.45">
      <c r="A28" s="29">
        <v>45809</v>
      </c>
      <c r="B28" s="14">
        <v>7290103704179</v>
      </c>
      <c r="C28" t="str">
        <f>_xlfn.XLOOKUP(B:B,PRODUCTS!A:A,PRODUCTS!E:E,"")</f>
        <v>S002</v>
      </c>
      <c r="D28">
        <v>58</v>
      </c>
    </row>
    <row r="29" spans="1:4" x14ac:dyDescent="0.45">
      <c r="A29" s="29">
        <v>45809</v>
      </c>
      <c r="B29" s="14">
        <v>7290103704919</v>
      </c>
      <c r="C29" t="str">
        <f>_xlfn.XLOOKUP(B:B,PRODUCTS!A:A,PRODUCTS!E:E,"")</f>
        <v>S002</v>
      </c>
      <c r="D29">
        <v>58</v>
      </c>
    </row>
    <row r="30" spans="1:4" x14ac:dyDescent="0.45">
      <c r="A30" s="29">
        <v>45809</v>
      </c>
      <c r="B30" s="11">
        <v>7290107280099</v>
      </c>
      <c r="C30" t="str">
        <f>_xlfn.XLOOKUP(B:B,PRODUCTS!A:A,PRODUCTS!E:E,"")</f>
        <v>S001</v>
      </c>
      <c r="D30">
        <v>30</v>
      </c>
    </row>
    <row r="31" spans="1:4" x14ac:dyDescent="0.45">
      <c r="A31" s="29">
        <v>45809</v>
      </c>
      <c r="B31" s="11">
        <v>7290108351699</v>
      </c>
      <c r="C31" t="str">
        <f>_xlfn.XLOOKUP(B:B,PRODUCTS!A:A,PRODUCTS!E:E,"")</f>
        <v>S001</v>
      </c>
      <c r="D31">
        <v>39</v>
      </c>
    </row>
    <row r="32" spans="1:4" x14ac:dyDescent="0.45">
      <c r="A32" s="29">
        <v>45809</v>
      </c>
      <c r="B32" s="11">
        <v>7290108352702</v>
      </c>
      <c r="C32" t="str">
        <f>_xlfn.XLOOKUP(B:B,PRODUCTS!A:A,PRODUCTS!E:E,"")</f>
        <v>S001</v>
      </c>
      <c r="D32">
        <v>29</v>
      </c>
    </row>
    <row r="33" spans="1:4" x14ac:dyDescent="0.45">
      <c r="A33" s="29">
        <v>45809</v>
      </c>
      <c r="B33" s="11">
        <v>7290108356298</v>
      </c>
      <c r="C33" t="str">
        <f>_xlfn.XLOOKUP(B:B,PRODUCTS!A:A,PRODUCTS!E:E,"")</f>
        <v>S003</v>
      </c>
      <c r="D33">
        <v>39</v>
      </c>
    </row>
    <row r="34" spans="1:4" x14ac:dyDescent="0.45">
      <c r="A34" s="29">
        <v>45809</v>
      </c>
      <c r="B34" s="15">
        <v>7290108356700</v>
      </c>
      <c r="C34" t="str">
        <f>_xlfn.XLOOKUP(B:B,PRODUCTS!A:A,PRODUCTS!E:E,"")</f>
        <v>S001</v>
      </c>
      <c r="D34">
        <v>30</v>
      </c>
    </row>
    <row r="35" spans="1:4" x14ac:dyDescent="0.45">
      <c r="A35" s="29">
        <v>45809</v>
      </c>
      <c r="B35" s="11">
        <v>7290108356717</v>
      </c>
      <c r="C35" t="str">
        <f>_xlfn.XLOOKUP(B:B,PRODUCTS!A:A,PRODUCTS!E:E,"")</f>
        <v>S003</v>
      </c>
      <c r="D35">
        <v>39</v>
      </c>
    </row>
    <row r="36" spans="1:4" x14ac:dyDescent="0.45">
      <c r="A36" s="29">
        <v>45809</v>
      </c>
      <c r="B36" s="10">
        <v>7290108356724</v>
      </c>
      <c r="C36" t="str">
        <f>_xlfn.XLOOKUP(B:B,PRODUCTS!A:A,PRODUCTS!E:E,"")</f>
        <v>S003</v>
      </c>
      <c r="D36">
        <v>39</v>
      </c>
    </row>
    <row r="37" spans="1:4" x14ac:dyDescent="0.45">
      <c r="A37" s="29">
        <v>45809</v>
      </c>
      <c r="B37" s="11">
        <v>7290108357240</v>
      </c>
      <c r="C37" t="str">
        <f>_xlfn.XLOOKUP(B:B,PRODUCTS!A:A,PRODUCTS!E:E,"")</f>
        <v>S001</v>
      </c>
      <c r="D37">
        <v>37</v>
      </c>
    </row>
    <row r="38" spans="1:4" x14ac:dyDescent="0.45">
      <c r="A38" s="29">
        <v>45809</v>
      </c>
      <c r="B38" s="11">
        <v>7290108357288</v>
      </c>
      <c r="C38" t="str">
        <f>_xlfn.XLOOKUP(B:B,PRODUCTS!A:A,PRODUCTS!E:E,"")</f>
        <v>S001</v>
      </c>
      <c r="D38">
        <v>58</v>
      </c>
    </row>
    <row r="39" spans="1:4" x14ac:dyDescent="0.45">
      <c r="A39" s="29">
        <v>45809</v>
      </c>
      <c r="B39" s="11">
        <v>7290108357844</v>
      </c>
      <c r="C39" t="str">
        <f>_xlfn.XLOOKUP(B:B,PRODUCTS!A:A,PRODUCTS!E:E,"")</f>
        <v>S003</v>
      </c>
      <c r="D39">
        <v>39</v>
      </c>
    </row>
    <row r="40" spans="1:4" x14ac:dyDescent="0.45">
      <c r="A40" s="29">
        <v>45809</v>
      </c>
      <c r="B40" s="15">
        <v>7290108359077</v>
      </c>
      <c r="C40" t="str">
        <f>_xlfn.XLOOKUP(B:B,PRODUCTS!A:A,PRODUCTS!E:E,"")</f>
        <v>S001</v>
      </c>
      <c r="D40">
        <v>30</v>
      </c>
    </row>
    <row r="41" spans="1:4" x14ac:dyDescent="0.45">
      <c r="A41" s="29">
        <v>45809</v>
      </c>
      <c r="B41" s="11">
        <v>7290108359176</v>
      </c>
      <c r="C41" t="str">
        <f>_xlfn.XLOOKUP(B:B,PRODUCTS!A:A,PRODUCTS!E:E,"")</f>
        <v>S001</v>
      </c>
      <c r="D41">
        <v>30</v>
      </c>
    </row>
    <row r="42" spans="1:4" x14ac:dyDescent="0.45">
      <c r="A42" s="29">
        <v>45809</v>
      </c>
      <c r="B42" s="15">
        <v>7290108359190</v>
      </c>
      <c r="C42" t="str">
        <f>_xlfn.XLOOKUP(B:B,PRODUCTS!A:A,PRODUCTS!E:E,"")</f>
        <v>S001</v>
      </c>
      <c r="D42">
        <v>30</v>
      </c>
    </row>
    <row r="43" spans="1:4" x14ac:dyDescent="0.45">
      <c r="A43" s="29">
        <v>45809</v>
      </c>
      <c r="B43" s="13">
        <v>8001090184375</v>
      </c>
      <c r="C43" t="str">
        <f>_xlfn.XLOOKUP(B:B,PRODUCTS!A:A,PRODUCTS!E:E,"")</f>
        <v>S003</v>
      </c>
      <c r="D43">
        <v>33</v>
      </c>
    </row>
    <row r="44" spans="1:4" x14ac:dyDescent="0.45">
      <c r="A44" s="29">
        <v>45809</v>
      </c>
      <c r="B44" s="13">
        <v>8001090184412</v>
      </c>
      <c r="C44" t="str">
        <f>_xlfn.XLOOKUP(B:B,PRODUCTS!A:A,PRODUCTS!E:E,"")</f>
        <v>S003</v>
      </c>
      <c r="D44">
        <v>58</v>
      </c>
    </row>
    <row r="45" spans="1:4" x14ac:dyDescent="0.45">
      <c r="A45" s="29">
        <v>45809</v>
      </c>
      <c r="B45" s="13">
        <v>8001841625362</v>
      </c>
      <c r="C45" t="str">
        <f>_xlfn.XLOOKUP(B:B,PRODUCTS!A:A,PRODUCTS!E:E,"")</f>
        <v>S003</v>
      </c>
      <c r="D45">
        <v>37</v>
      </c>
    </row>
    <row r="46" spans="1:4" x14ac:dyDescent="0.45">
      <c r="A46" s="29">
        <v>45809</v>
      </c>
      <c r="B46" s="13">
        <v>8001841893990</v>
      </c>
      <c r="C46" t="str">
        <f>_xlfn.XLOOKUP(B:B,PRODUCTS!A:A,PRODUCTS!E:E,"")</f>
        <v>S003</v>
      </c>
      <c r="D46">
        <v>30</v>
      </c>
    </row>
    <row r="47" spans="1:4" x14ac:dyDescent="0.45">
      <c r="A47" s="29">
        <v>45809</v>
      </c>
      <c r="B47" s="13">
        <v>8006540429327</v>
      </c>
      <c r="C47" t="str">
        <f>_xlfn.XLOOKUP(B:B,PRODUCTS!A:A,PRODUCTS!E:E,"")</f>
        <v>S003</v>
      </c>
      <c r="D47">
        <v>58</v>
      </c>
    </row>
    <row r="48" spans="1:4" x14ac:dyDescent="0.45">
      <c r="A48" s="29">
        <v>45809</v>
      </c>
      <c r="B48" s="13">
        <v>8700216163811</v>
      </c>
      <c r="C48" t="str">
        <f>_xlfn.XLOOKUP(B:B,PRODUCTS!A:A,PRODUCTS!E:E,"")</f>
        <v>S003</v>
      </c>
      <c r="D48">
        <v>58</v>
      </c>
    </row>
    <row r="49" spans="1:4" x14ac:dyDescent="0.45">
      <c r="A49" s="29">
        <v>45809</v>
      </c>
      <c r="B49" s="13">
        <v>8700216236034</v>
      </c>
      <c r="C49" t="str">
        <f>_xlfn.XLOOKUP(B:B,PRODUCTS!A:A,PRODUCTS!E:E,"")</f>
        <v>S003</v>
      </c>
      <c r="D49">
        <v>33</v>
      </c>
    </row>
    <row r="50" spans="1:4" x14ac:dyDescent="0.45">
      <c r="A50" s="29">
        <v>45809</v>
      </c>
      <c r="B50" s="13">
        <v>8700216236751</v>
      </c>
      <c r="C50" t="str">
        <f>_xlfn.XLOOKUP(B:B,PRODUCTS!A:A,PRODUCTS!E:E,"")</f>
        <v>S003</v>
      </c>
      <c r="D50">
        <v>37</v>
      </c>
    </row>
    <row r="51" spans="1:4" x14ac:dyDescent="0.45">
      <c r="A51" s="29">
        <v>45818</v>
      </c>
      <c r="B51" s="13">
        <v>4084500088917</v>
      </c>
      <c r="C51" t="str">
        <f>_xlfn.XLOOKUP(B:B,PRODUCTS!A:A,PRODUCTS!E:E,"")</f>
        <v>S003</v>
      </c>
      <c r="D51" s="28">
        <v>70</v>
      </c>
    </row>
    <row r="52" spans="1:4" x14ac:dyDescent="0.45">
      <c r="A52" s="29">
        <v>45818</v>
      </c>
      <c r="B52" s="13">
        <v>4084500853836</v>
      </c>
      <c r="C52" t="str">
        <f>_xlfn.XLOOKUP(B:B,PRODUCTS!A:A,PRODUCTS!E:E,"")</f>
        <v>S003</v>
      </c>
      <c r="D52" s="28">
        <v>69</v>
      </c>
    </row>
    <row r="53" spans="1:4" x14ac:dyDescent="0.45">
      <c r="A53" s="29">
        <v>45818</v>
      </c>
      <c r="B53" s="13">
        <v>7290000288024</v>
      </c>
      <c r="C53" t="str">
        <f>_xlfn.XLOOKUP(B:B,PRODUCTS!A:A,PRODUCTS!E:E,"")</f>
        <v>S001</v>
      </c>
      <c r="D53" s="28">
        <v>71</v>
      </c>
    </row>
    <row r="54" spans="1:4" x14ac:dyDescent="0.45">
      <c r="A54" s="29">
        <v>45818</v>
      </c>
      <c r="B54" s="13">
        <v>7290000294780</v>
      </c>
      <c r="C54" t="str">
        <f>_xlfn.XLOOKUP(B:B,PRODUCTS!A:A,PRODUCTS!E:E,"")</f>
        <v>S001</v>
      </c>
      <c r="D54" s="28">
        <v>72</v>
      </c>
    </row>
    <row r="55" spans="1:4" x14ac:dyDescent="0.45">
      <c r="A55" s="29">
        <v>45818</v>
      </c>
      <c r="B55" s="13">
        <v>7290103702489</v>
      </c>
      <c r="C55" t="str">
        <f>_xlfn.XLOOKUP(B:B,PRODUCTS!A:A,PRODUCTS!E:E,"")</f>
        <v>S002</v>
      </c>
      <c r="D55">
        <v>74</v>
      </c>
    </row>
    <row r="56" spans="1:4" x14ac:dyDescent="0.45">
      <c r="A56" s="29">
        <v>45818</v>
      </c>
      <c r="B56" s="13">
        <v>7290103703370</v>
      </c>
      <c r="C56" t="str">
        <f>_xlfn.XLOOKUP(B:B,PRODUCTS!A:A,PRODUCTS!E:E,"")</f>
        <v>S002</v>
      </c>
      <c r="D56">
        <v>74</v>
      </c>
    </row>
    <row r="57" spans="1:4" x14ac:dyDescent="0.45">
      <c r="A57" s="29">
        <v>45818</v>
      </c>
      <c r="B57" s="13">
        <v>7290103704155</v>
      </c>
      <c r="C57" t="str">
        <f>_xlfn.XLOOKUP(B:B,PRODUCTS!A:A,PRODUCTS!E:E,"")</f>
        <v>S002</v>
      </c>
      <c r="D57">
        <v>74</v>
      </c>
    </row>
    <row r="58" spans="1:4" x14ac:dyDescent="0.45">
      <c r="A58" s="29">
        <v>45818</v>
      </c>
      <c r="B58" s="13">
        <v>7290103704179</v>
      </c>
      <c r="C58" t="str">
        <f>_xlfn.XLOOKUP(B:B,PRODUCTS!A:A,PRODUCTS!E:E,"")</f>
        <v>S002</v>
      </c>
      <c r="D58">
        <v>75</v>
      </c>
    </row>
    <row r="59" spans="1:4" x14ac:dyDescent="0.45">
      <c r="A59" s="29">
        <v>45818</v>
      </c>
      <c r="B59" s="13">
        <v>7290103704919</v>
      </c>
      <c r="C59" t="str">
        <f>_xlfn.XLOOKUP(B:B,PRODUCTS!A:A,PRODUCTS!E:E,"")</f>
        <v>S002</v>
      </c>
      <c r="D59">
        <v>73</v>
      </c>
    </row>
    <row r="60" spans="1:4" x14ac:dyDescent="0.45">
      <c r="A60" s="29">
        <v>45818</v>
      </c>
      <c r="B60" s="13">
        <v>7290108357288</v>
      </c>
      <c r="C60" t="str">
        <f>_xlfn.XLOOKUP(B:B,PRODUCTS!A:A,PRODUCTS!E:E,"")</f>
        <v>S001</v>
      </c>
      <c r="D60">
        <v>76</v>
      </c>
    </row>
    <row r="61" spans="1:4" x14ac:dyDescent="0.45">
      <c r="A61" s="29">
        <v>45818</v>
      </c>
      <c r="B61" s="13">
        <v>7290108357844</v>
      </c>
      <c r="C61" t="str">
        <f>_xlfn.XLOOKUP(B:B,PRODUCTS!A:A,PRODUCTS!E:E,"")</f>
        <v>S003</v>
      </c>
      <c r="D61">
        <v>56</v>
      </c>
    </row>
    <row r="62" spans="1:4" x14ac:dyDescent="0.45">
      <c r="A62" s="29">
        <v>45818</v>
      </c>
      <c r="B62" s="13">
        <v>8001090184412</v>
      </c>
      <c r="C62" t="str">
        <f>_xlfn.XLOOKUP(B:B,PRODUCTS!A:A,PRODUCTS!E:E,"")</f>
        <v>S003</v>
      </c>
      <c r="D62">
        <v>77</v>
      </c>
    </row>
    <row r="63" spans="1:4" x14ac:dyDescent="0.45">
      <c r="A63" s="29">
        <v>45818</v>
      </c>
      <c r="B63" s="13">
        <v>8006540429327</v>
      </c>
      <c r="C63" t="str">
        <f>_xlfn.XLOOKUP(B:B,PRODUCTS!A:A,PRODUCTS!E:E,"")</f>
        <v>S003</v>
      </c>
      <c r="D63">
        <v>77</v>
      </c>
    </row>
    <row r="64" spans="1:4" x14ac:dyDescent="0.45">
      <c r="A64" s="29">
        <v>45818</v>
      </c>
      <c r="B64" s="13">
        <v>8700216163811</v>
      </c>
      <c r="C64" t="str">
        <f>_xlfn.XLOOKUP(B:B,PRODUCTS!A:A,PRODUCTS!E:E,"")</f>
        <v>S003</v>
      </c>
      <c r="D64">
        <v>77</v>
      </c>
    </row>
    <row r="65" spans="1:4" x14ac:dyDescent="0.45">
      <c r="A65" s="29">
        <v>45819</v>
      </c>
      <c r="B65" s="28">
        <v>7290005424700</v>
      </c>
      <c r="C65" t="str">
        <f>_xlfn.XLOOKUP(B:B,PRODUCTS!A:A,PRODUCTS!E:E,"")</f>
        <v>S001</v>
      </c>
      <c r="D65" s="28">
        <v>50</v>
      </c>
    </row>
    <row r="66" spans="1:4" x14ac:dyDescent="0.45">
      <c r="A66" s="29">
        <v>45819</v>
      </c>
      <c r="B66" s="28">
        <v>7290005425110</v>
      </c>
      <c r="C66" t="str">
        <f>_xlfn.XLOOKUP(B:B,PRODUCTS!A:A,PRODUCTS!E:E,"")</f>
        <v>S001</v>
      </c>
      <c r="D66" s="28">
        <v>49</v>
      </c>
    </row>
    <row r="67" spans="1:4" x14ac:dyDescent="0.45">
      <c r="A67" s="29">
        <v>45819</v>
      </c>
      <c r="B67" s="28">
        <v>7290108351699</v>
      </c>
      <c r="C67" t="str">
        <f>_xlfn.XLOOKUP(B:B,PRODUCTS!A:A,PRODUCTS!E:E,"")</f>
        <v>S001</v>
      </c>
      <c r="D67" s="28">
        <v>54</v>
      </c>
    </row>
    <row r="68" spans="1:4" x14ac:dyDescent="0.45">
      <c r="A68" s="29">
        <v>45819</v>
      </c>
      <c r="B68" s="28">
        <v>7290108356298</v>
      </c>
      <c r="C68" t="str">
        <f>_xlfn.XLOOKUP(B:B,PRODUCTS!A:A,PRODUCTS!E:E,"")</f>
        <v>S003</v>
      </c>
      <c r="D68" s="28">
        <v>54</v>
      </c>
    </row>
    <row r="69" spans="1:4" x14ac:dyDescent="0.45">
      <c r="A69" s="29">
        <v>45819</v>
      </c>
      <c r="B69" s="28">
        <v>7290108356724</v>
      </c>
      <c r="C69" t="str">
        <f>_xlfn.XLOOKUP(B:B,PRODUCTS!A:A,PRODUCTS!E:E,"")</f>
        <v>S003</v>
      </c>
      <c r="D69" s="28">
        <v>54</v>
      </c>
    </row>
    <row r="70" spans="1:4" x14ac:dyDescent="0.45">
      <c r="A70" s="29">
        <v>45819</v>
      </c>
      <c r="B70" s="28">
        <v>8001090184375</v>
      </c>
      <c r="C70" t="str">
        <f>_xlfn.XLOOKUP(B:B,PRODUCTS!A:A,PRODUCTS!E:E,"")</f>
        <v>S003</v>
      </c>
      <c r="D70" s="28">
        <v>49</v>
      </c>
    </row>
    <row r="71" spans="1:4" x14ac:dyDescent="0.45">
      <c r="A71" s="29">
        <v>45819</v>
      </c>
      <c r="B71" s="28">
        <v>8700216236751</v>
      </c>
      <c r="C71" t="str">
        <f>_xlfn.XLOOKUP(B:B,PRODUCTS!A:A,PRODUCTS!E:E,"")</f>
        <v>S003</v>
      </c>
      <c r="D71" s="28">
        <v>53</v>
      </c>
    </row>
    <row r="72" spans="1:4" x14ac:dyDescent="0.45">
      <c r="A72" s="29">
        <v>45820</v>
      </c>
      <c r="B72" s="28">
        <v>7290012116025</v>
      </c>
      <c r="C72" t="str">
        <f>_xlfn.XLOOKUP(B:B,PRODUCTS!A:A,PRODUCTS!E:E,"")</f>
        <v>S003</v>
      </c>
      <c r="D72">
        <v>49</v>
      </c>
    </row>
    <row r="73" spans="1:4" x14ac:dyDescent="0.45">
      <c r="A73" s="29">
        <v>45820</v>
      </c>
      <c r="B73" s="28">
        <v>7290108356717</v>
      </c>
      <c r="C73" t="str">
        <f>_xlfn.XLOOKUP(B:B,PRODUCTS!A:A,PRODUCTS!E:E,"")</f>
        <v>S003</v>
      </c>
      <c r="D73">
        <v>54</v>
      </c>
    </row>
    <row r="74" spans="1:4" x14ac:dyDescent="0.45">
      <c r="A74" s="29">
        <v>45820</v>
      </c>
      <c r="B74" s="28">
        <v>7290108357240</v>
      </c>
      <c r="C74" t="str">
        <f>_xlfn.XLOOKUP(B:B,PRODUCTS!A:A,PRODUCTS!E:E,"")</f>
        <v>S001</v>
      </c>
      <c r="D74">
        <v>51</v>
      </c>
    </row>
    <row r="75" spans="1:4" x14ac:dyDescent="0.45">
      <c r="A75" s="29">
        <v>45820</v>
      </c>
      <c r="B75" s="28">
        <v>8001841625362</v>
      </c>
      <c r="C75" t="str">
        <f>_xlfn.XLOOKUP(B:B,PRODUCTS!A:A,PRODUCTS!E:E,"")</f>
        <v>S003</v>
      </c>
      <c r="D75">
        <v>52</v>
      </c>
    </row>
    <row r="76" spans="1:4" x14ac:dyDescent="0.45">
      <c r="A76" s="29">
        <v>45820</v>
      </c>
      <c r="B76" s="28">
        <v>8700216236034</v>
      </c>
      <c r="C76" t="str">
        <f>_xlfn.XLOOKUP(B:B,PRODUCTS!A:A,PRODUCTS!E:E,"")</f>
        <v>S003</v>
      </c>
      <c r="D76">
        <v>51</v>
      </c>
    </row>
    <row r="77" spans="1:4" x14ac:dyDescent="0.45">
      <c r="A77" s="29">
        <v>45821</v>
      </c>
      <c r="B77" s="13">
        <v>7290000286921</v>
      </c>
      <c r="C77" t="str">
        <f>_xlfn.XLOOKUP(B:B,PRODUCTS!A:A,PRODUCTS!E:E,"")</f>
        <v>S001</v>
      </c>
      <c r="D77">
        <v>38</v>
      </c>
    </row>
    <row r="78" spans="1:4" x14ac:dyDescent="0.45">
      <c r="A78" s="29">
        <v>45821</v>
      </c>
      <c r="B78" s="13">
        <v>7290000292915</v>
      </c>
      <c r="C78" t="str">
        <f>_xlfn.XLOOKUP(B:B,PRODUCTS!A:A,PRODUCTS!E:E,"")</f>
        <v>S001</v>
      </c>
      <c r="D78">
        <v>48</v>
      </c>
    </row>
    <row r="79" spans="1:4" x14ac:dyDescent="0.45">
      <c r="A79" s="29">
        <v>45821</v>
      </c>
      <c r="B79" s="13">
        <v>7290000295367</v>
      </c>
      <c r="C79" t="str">
        <f>_xlfn.XLOOKUP(B:B,PRODUCTS!A:A,PRODUCTS!E:E,"")</f>
        <v>S001</v>
      </c>
      <c r="D79">
        <v>43</v>
      </c>
    </row>
    <row r="80" spans="1:4" x14ac:dyDescent="0.45">
      <c r="A80" s="29">
        <v>45821</v>
      </c>
      <c r="B80" s="13">
        <v>7290001246610</v>
      </c>
      <c r="C80" t="str">
        <f>_xlfn.XLOOKUP(B:B,PRODUCTS!A:A,PRODUCTS!E:E,"")</f>
        <v>S002</v>
      </c>
      <c r="D80">
        <v>46</v>
      </c>
    </row>
    <row r="81" spans="1:4" x14ac:dyDescent="0.45">
      <c r="A81" s="29">
        <v>45822</v>
      </c>
      <c r="B81" s="28">
        <v>7290005425196</v>
      </c>
      <c r="C81" t="str">
        <f>_xlfn.XLOOKUP(B:B,PRODUCTS!A:A,PRODUCTS!E:E,"")</f>
        <v>S001</v>
      </c>
      <c r="D81" s="28">
        <v>45</v>
      </c>
    </row>
    <row r="82" spans="1:4" x14ac:dyDescent="0.45">
      <c r="A82" s="29">
        <v>45822</v>
      </c>
      <c r="B82" s="28">
        <v>7290013268891</v>
      </c>
      <c r="C82" t="str">
        <f>_xlfn.XLOOKUP(B:B,PRODUCTS!A:A,PRODUCTS!E:E,"")</f>
        <v>S001</v>
      </c>
      <c r="D82" s="28">
        <v>46</v>
      </c>
    </row>
    <row r="83" spans="1:4" x14ac:dyDescent="0.45">
      <c r="A83" s="29">
        <v>45823</v>
      </c>
      <c r="B83" s="13">
        <v>7290012117534</v>
      </c>
      <c r="C83" t="str">
        <f>_xlfn.XLOOKUP(B:B,PRODUCTS!A:A,PRODUCTS!E:E,"")</f>
        <v>S001</v>
      </c>
      <c r="D83" s="27">
        <v>44</v>
      </c>
    </row>
    <row r="84" spans="1:4" x14ac:dyDescent="0.45">
      <c r="A84" s="29">
        <v>45823</v>
      </c>
      <c r="B84" s="13">
        <v>7290019274483</v>
      </c>
      <c r="C84" t="str">
        <f>_xlfn.XLOOKUP(B:B,PRODUCTS!A:A,PRODUCTS!E:E,"")</f>
        <v>S002</v>
      </c>
      <c r="D84" s="26">
        <v>46</v>
      </c>
    </row>
    <row r="85" spans="1:4" x14ac:dyDescent="0.45">
      <c r="A85" s="29">
        <v>45823</v>
      </c>
      <c r="B85" s="13">
        <v>7290019274490</v>
      </c>
      <c r="C85" t="str">
        <f>_xlfn.XLOOKUP(B:B,PRODUCTS!A:A,PRODUCTS!E:E,"")</f>
        <v>S002</v>
      </c>
      <c r="D85" s="27">
        <v>47</v>
      </c>
    </row>
    <row r="86" spans="1:4" x14ac:dyDescent="0.45">
      <c r="A86" s="29">
        <v>45824</v>
      </c>
      <c r="B86" s="28">
        <v>7290013269003</v>
      </c>
      <c r="C86" t="str">
        <f>_xlfn.XLOOKUP(B:B,PRODUCTS!A:A,PRODUCTS!E:E,"")</f>
        <v>S001</v>
      </c>
      <c r="D86">
        <v>45</v>
      </c>
    </row>
    <row r="87" spans="1:4" x14ac:dyDescent="0.45">
      <c r="A87" s="29">
        <v>45825</v>
      </c>
      <c r="B87" s="28">
        <v>7290014397453</v>
      </c>
      <c r="C87" t="str">
        <f>_xlfn.XLOOKUP(B:B,PRODUCTS!A:A,PRODUCTS!E:E,"")</f>
        <v>S001</v>
      </c>
      <c r="D87" s="28">
        <v>47</v>
      </c>
    </row>
    <row r="88" spans="1:4" x14ac:dyDescent="0.45">
      <c r="A88" s="29">
        <v>45825</v>
      </c>
      <c r="B88" s="28">
        <v>7290019611325</v>
      </c>
      <c r="C88" t="str">
        <f>_xlfn.XLOOKUP(B:B,PRODUCTS!A:A,PRODUCTS!E:E,"")</f>
        <v>S002</v>
      </c>
      <c r="D88" s="28">
        <v>45</v>
      </c>
    </row>
    <row r="89" spans="1:4" x14ac:dyDescent="0.45">
      <c r="A89" s="29">
        <v>45825</v>
      </c>
      <c r="B89" s="28">
        <v>7290107280099</v>
      </c>
      <c r="C89" t="str">
        <f>_xlfn.XLOOKUP(B:B,PRODUCTS!A:A,PRODUCTS!E:E,"")</f>
        <v>S001</v>
      </c>
      <c r="D89" s="28">
        <v>40</v>
      </c>
    </row>
    <row r="90" spans="1:4" x14ac:dyDescent="0.45">
      <c r="A90" s="29">
        <v>45825</v>
      </c>
      <c r="B90" s="28">
        <v>7290108359190</v>
      </c>
      <c r="C90" t="str">
        <f>_xlfn.XLOOKUP(B:B,PRODUCTS!A:A,PRODUCTS!E:E,"")</f>
        <v>S001</v>
      </c>
      <c r="D90" s="28">
        <v>43</v>
      </c>
    </row>
    <row r="91" spans="1:4" x14ac:dyDescent="0.45">
      <c r="A91" s="29">
        <v>45825</v>
      </c>
      <c r="B91" s="28">
        <v>8001841893990</v>
      </c>
      <c r="C91" t="str">
        <f>_xlfn.XLOOKUP(B:B,PRODUCTS!A:A,PRODUCTS!E:E,"")</f>
        <v>S003</v>
      </c>
      <c r="D91" s="28">
        <v>44</v>
      </c>
    </row>
    <row r="92" spans="1:4" x14ac:dyDescent="0.45">
      <c r="A92" s="29">
        <v>45826</v>
      </c>
      <c r="B92" s="13">
        <v>7290108352702</v>
      </c>
      <c r="C92" t="str">
        <f>_xlfn.XLOOKUP(B:B,PRODUCTS!A:A,PRODUCTS!E:E,"")</f>
        <v>S001</v>
      </c>
      <c r="D92">
        <v>39</v>
      </c>
    </row>
    <row r="93" spans="1:4" x14ac:dyDescent="0.45">
      <c r="A93" s="29">
        <v>45826</v>
      </c>
      <c r="B93" s="13">
        <v>7290108356700</v>
      </c>
      <c r="C93" t="str">
        <f>_xlfn.XLOOKUP(B:B,PRODUCTS!A:A,PRODUCTS!E:E,"")</f>
        <v>S001</v>
      </c>
      <c r="D93">
        <v>42</v>
      </c>
    </row>
    <row r="94" spans="1:4" x14ac:dyDescent="0.45">
      <c r="A94" s="29">
        <v>45826</v>
      </c>
      <c r="B94" s="13">
        <v>7290108359077</v>
      </c>
      <c r="C94" t="str">
        <f>_xlfn.XLOOKUP(B:B,PRODUCTS!A:A,PRODUCTS!E:E,"")</f>
        <v>S001</v>
      </c>
      <c r="D94">
        <v>43</v>
      </c>
    </row>
    <row r="95" spans="1:4" x14ac:dyDescent="0.45">
      <c r="A95" s="29">
        <v>45827</v>
      </c>
      <c r="B95" s="13">
        <v>7290013268204</v>
      </c>
      <c r="C95" t="str">
        <f>_xlfn.XLOOKUP(B:B,PRODUCTS!A:A,PRODUCTS!E:E,"")</f>
        <v>S001</v>
      </c>
      <c r="D95">
        <v>37</v>
      </c>
    </row>
    <row r="96" spans="1:4" x14ac:dyDescent="0.45">
      <c r="A96" s="29">
        <v>45827</v>
      </c>
      <c r="B96" s="13">
        <v>7290108359176</v>
      </c>
      <c r="C96" t="str">
        <f>_xlfn.XLOOKUP(B:B,PRODUCTS!A:A,PRODUCTS!E:E,"")</f>
        <v>S001</v>
      </c>
      <c r="D96">
        <v>43</v>
      </c>
    </row>
    <row r="97" spans="1:4" x14ac:dyDescent="0.45">
      <c r="A97" s="29">
        <v>45829</v>
      </c>
      <c r="B97" s="13">
        <v>4084500088917</v>
      </c>
      <c r="C97" t="str">
        <f>_xlfn.XLOOKUP(B:B,PRODUCTS!A:A,PRODUCTS!E:E,"")</f>
        <v>S003</v>
      </c>
      <c r="D97" s="33">
        <v>70</v>
      </c>
    </row>
    <row r="98" spans="1:4" x14ac:dyDescent="0.45">
      <c r="A98" s="29">
        <v>45829</v>
      </c>
      <c r="B98" s="13">
        <v>7290000288024</v>
      </c>
      <c r="C98" t="str">
        <f>_xlfn.XLOOKUP(B:B,PRODUCTS!A:A,PRODUCTS!E:E,"")</f>
        <v>S001</v>
      </c>
      <c r="D98" s="34">
        <v>71</v>
      </c>
    </row>
    <row r="99" spans="1:4" x14ac:dyDescent="0.45">
      <c r="A99" s="29">
        <v>45829</v>
      </c>
      <c r="B99" s="13">
        <v>7290103702489</v>
      </c>
      <c r="C99" t="str">
        <f>_xlfn.XLOOKUP(B:B,PRODUCTS!A:A,PRODUCTS!E:E,"")</f>
        <v>S002</v>
      </c>
      <c r="D99" s="33">
        <v>74</v>
      </c>
    </row>
    <row r="100" spans="1:4" x14ac:dyDescent="0.45">
      <c r="A100" s="29">
        <v>45830</v>
      </c>
      <c r="B100" s="28">
        <v>4084500853836</v>
      </c>
      <c r="C100" t="str">
        <f>_xlfn.XLOOKUP(B:B,PRODUCTS!A:A,PRODUCTS!E:E,"")</f>
        <v>S003</v>
      </c>
      <c r="D100" s="26">
        <v>69</v>
      </c>
    </row>
    <row r="101" spans="1:4" x14ac:dyDescent="0.45">
      <c r="A101" s="29">
        <v>45830</v>
      </c>
      <c r="B101" s="28">
        <v>7290000294780</v>
      </c>
      <c r="C101" t="str">
        <f>_xlfn.XLOOKUP(B:B,PRODUCTS!A:A,PRODUCTS!E:E,"")</f>
        <v>S001</v>
      </c>
      <c r="D101" s="27">
        <v>72</v>
      </c>
    </row>
    <row r="102" spans="1:4" x14ac:dyDescent="0.45">
      <c r="A102" s="29">
        <v>45830</v>
      </c>
      <c r="B102" s="28">
        <v>7290103703370</v>
      </c>
      <c r="C102" t="str">
        <f>_xlfn.XLOOKUP(B:B,PRODUCTS!A:A,PRODUCTS!E:E,"")</f>
        <v>S002</v>
      </c>
      <c r="D102" s="26">
        <v>74</v>
      </c>
    </row>
    <row r="103" spans="1:4" x14ac:dyDescent="0.45">
      <c r="A103" s="29">
        <v>45830</v>
      </c>
      <c r="B103" s="28">
        <v>7290103704155</v>
      </c>
      <c r="C103" t="str">
        <f>_xlfn.XLOOKUP(B:B,PRODUCTS!A:A,PRODUCTS!E:E,"")</f>
        <v>S002</v>
      </c>
      <c r="D103" s="27">
        <v>74</v>
      </c>
    </row>
    <row r="104" spans="1:4" x14ac:dyDescent="0.45">
      <c r="A104" s="29">
        <v>45830</v>
      </c>
      <c r="B104" s="28">
        <v>7290103704179</v>
      </c>
      <c r="C104" t="str">
        <f>_xlfn.XLOOKUP(B:B,PRODUCTS!A:A,PRODUCTS!E:E,"")</f>
        <v>S002</v>
      </c>
      <c r="D104" s="26">
        <v>75</v>
      </c>
    </row>
    <row r="105" spans="1:4" x14ac:dyDescent="0.45">
      <c r="A105" s="29">
        <v>45830</v>
      </c>
      <c r="B105" s="28">
        <v>7290108357288</v>
      </c>
      <c r="C105" t="str">
        <f>_xlfn.XLOOKUP(B:B,PRODUCTS!A:A,PRODUCTS!E:E,"")</f>
        <v>S001</v>
      </c>
      <c r="D105" s="27">
        <v>76</v>
      </c>
    </row>
    <row r="106" spans="1:4" x14ac:dyDescent="0.45">
      <c r="A106" s="29">
        <v>45830</v>
      </c>
      <c r="B106" s="28">
        <v>8001090184412</v>
      </c>
      <c r="C106" t="str">
        <f>_xlfn.XLOOKUP(B:B,PRODUCTS!A:A,PRODUCTS!E:E,"")</f>
        <v>S003</v>
      </c>
      <c r="D106" s="26">
        <v>77</v>
      </c>
    </row>
    <row r="107" spans="1:4" x14ac:dyDescent="0.45">
      <c r="A107" s="29">
        <v>45831</v>
      </c>
      <c r="B107" s="13">
        <v>7290103704919</v>
      </c>
      <c r="C107" t="str">
        <f>_xlfn.XLOOKUP(B:B,PRODUCTS!A:A,PRODUCTS!E:E,"")</f>
        <v>S002</v>
      </c>
      <c r="D107">
        <v>73</v>
      </c>
    </row>
    <row r="108" spans="1:4" x14ac:dyDescent="0.45">
      <c r="A108" s="29">
        <v>45831</v>
      </c>
      <c r="B108" s="13">
        <v>8006540429327</v>
      </c>
      <c r="C108" t="str">
        <f>_xlfn.XLOOKUP(B:B,PRODUCTS!A:A,PRODUCTS!E:E,"")</f>
        <v>S003</v>
      </c>
      <c r="D108">
        <v>77</v>
      </c>
    </row>
    <row r="109" spans="1:4" x14ac:dyDescent="0.45">
      <c r="A109" s="29">
        <v>45831</v>
      </c>
      <c r="B109" s="13">
        <v>8700216163811</v>
      </c>
      <c r="C109" t="str">
        <f>_xlfn.XLOOKUP(B:B,PRODUCTS!A:A,PRODUCTS!E:E,"")</f>
        <v>S003</v>
      </c>
      <c r="D109">
        <v>77</v>
      </c>
    </row>
    <row r="110" spans="1:4" x14ac:dyDescent="0.45">
      <c r="A110" s="29">
        <v>45832</v>
      </c>
      <c r="B110" s="13">
        <v>7290000288307</v>
      </c>
      <c r="C110" t="str">
        <f>_xlfn.XLOOKUP(B:B,PRODUCTS!A:A,PRODUCTS!E:E,"")</f>
        <v>S001</v>
      </c>
      <c r="D110" s="28">
        <v>32</v>
      </c>
    </row>
    <row r="111" spans="1:4" x14ac:dyDescent="0.45">
      <c r="A111" s="29">
        <v>45833</v>
      </c>
      <c r="B111" s="13">
        <v>7290000288659</v>
      </c>
      <c r="C111" t="str">
        <f>_xlfn.XLOOKUP(B:B,PRODUCTS!A:A,PRODUCTS!E:E,"")</f>
        <v>S001</v>
      </c>
      <c r="D111">
        <v>33</v>
      </c>
    </row>
    <row r="112" spans="1:4" x14ac:dyDescent="0.45">
      <c r="A112" s="29">
        <v>45833</v>
      </c>
      <c r="B112" s="13">
        <v>7290000295541</v>
      </c>
      <c r="C112" t="str">
        <f>_xlfn.XLOOKUP(B:B,PRODUCTS!A:A,PRODUCTS!E:E,"")</f>
        <v>S001</v>
      </c>
      <c r="D112">
        <v>33</v>
      </c>
    </row>
    <row r="113" spans="1:4" x14ac:dyDescent="0.45">
      <c r="A113" s="29">
        <v>45838</v>
      </c>
      <c r="B113" s="13">
        <v>7290005424700</v>
      </c>
      <c r="C113" t="str">
        <f>_xlfn.XLOOKUP(B:B,PRODUCTS!A:A,PRODUCTS!E:E,"")</f>
        <v>S001</v>
      </c>
      <c r="D113">
        <v>50</v>
      </c>
    </row>
    <row r="114" spans="1:4" x14ac:dyDescent="0.45">
      <c r="A114" s="29">
        <v>45838</v>
      </c>
      <c r="B114" s="13">
        <v>7290108351699</v>
      </c>
      <c r="C114" t="str">
        <f>_xlfn.XLOOKUP(B:B,PRODUCTS!A:A,PRODUCTS!E:E,"")</f>
        <v>S001</v>
      </c>
      <c r="D114">
        <v>54</v>
      </c>
    </row>
    <row r="115" spans="1:4" x14ac:dyDescent="0.45">
      <c r="A115" s="29">
        <v>45839</v>
      </c>
      <c r="B115" s="13">
        <v>7290005425110</v>
      </c>
      <c r="C115" t="str">
        <f>_xlfn.XLOOKUP(B:B,PRODUCTS!A:A,PRODUCTS!E:E,"")</f>
        <v>S001</v>
      </c>
      <c r="D115" s="28">
        <v>49</v>
      </c>
    </row>
    <row r="116" spans="1:4" x14ac:dyDescent="0.45">
      <c r="A116" s="29">
        <v>45839</v>
      </c>
      <c r="B116" s="13">
        <v>7290108356298</v>
      </c>
      <c r="C116" t="str">
        <f>_xlfn.XLOOKUP(B:B,PRODUCTS!A:A,PRODUCTS!E:E,"")</f>
        <v>S003</v>
      </c>
      <c r="D116" s="28">
        <v>54</v>
      </c>
    </row>
    <row r="117" spans="1:4" x14ac:dyDescent="0.45">
      <c r="A117" s="29">
        <v>45840</v>
      </c>
      <c r="B117" s="13">
        <v>4084500088917</v>
      </c>
      <c r="C117" t="str">
        <f>_xlfn.XLOOKUP(B:B,PRODUCTS!A:A,PRODUCTS!E:E,"")</f>
        <v>S003</v>
      </c>
      <c r="D117">
        <v>70</v>
      </c>
    </row>
    <row r="118" spans="1:4" x14ac:dyDescent="0.45">
      <c r="A118" s="29">
        <v>45840</v>
      </c>
      <c r="B118" s="13">
        <v>7290000288024</v>
      </c>
      <c r="C118" t="str">
        <f>_xlfn.XLOOKUP(B:B,PRODUCTS!A:A,PRODUCTS!E:E,"")</f>
        <v>S001</v>
      </c>
      <c r="D118">
        <v>71</v>
      </c>
    </row>
    <row r="119" spans="1:4" x14ac:dyDescent="0.45">
      <c r="A119" s="29">
        <v>45840</v>
      </c>
      <c r="B119" s="13">
        <v>7290000292915</v>
      </c>
      <c r="C119" t="str">
        <f>_xlfn.XLOOKUP(B:B,PRODUCTS!A:A,PRODUCTS!E:E,"")</f>
        <v>S001</v>
      </c>
      <c r="D119">
        <v>48</v>
      </c>
    </row>
    <row r="120" spans="1:4" x14ac:dyDescent="0.45">
      <c r="A120" s="29">
        <v>45840</v>
      </c>
      <c r="B120" s="13">
        <v>7290001246610</v>
      </c>
      <c r="C120" t="str">
        <f>_xlfn.XLOOKUP(B:B,PRODUCTS!A:A,PRODUCTS!E:E,"")</f>
        <v>S002</v>
      </c>
      <c r="D120">
        <v>46</v>
      </c>
    </row>
    <row r="121" spans="1:4" x14ac:dyDescent="0.45">
      <c r="A121" s="29">
        <v>45840</v>
      </c>
      <c r="B121" s="13">
        <v>7290012116025</v>
      </c>
      <c r="C121" t="str">
        <f>_xlfn.XLOOKUP(B:B,PRODUCTS!A:A,PRODUCTS!E:E,"")</f>
        <v>S003</v>
      </c>
      <c r="D121">
        <v>49</v>
      </c>
    </row>
    <row r="122" spans="1:4" x14ac:dyDescent="0.45">
      <c r="A122" s="29">
        <v>45840</v>
      </c>
      <c r="B122" s="13">
        <v>7290108356717</v>
      </c>
      <c r="C122" t="str">
        <f>_xlfn.XLOOKUP(B:B,PRODUCTS!A:A,PRODUCTS!E:E,"")</f>
        <v>S003</v>
      </c>
      <c r="D122">
        <v>54</v>
      </c>
    </row>
    <row r="123" spans="1:4" x14ac:dyDescent="0.45">
      <c r="A123" s="29">
        <v>45840</v>
      </c>
      <c r="B123" s="13">
        <v>7290108356724</v>
      </c>
      <c r="C123" t="str">
        <f>_xlfn.XLOOKUP(B:B,PRODUCTS!A:A,PRODUCTS!E:E,"")</f>
        <v>S003</v>
      </c>
      <c r="D123">
        <v>54</v>
      </c>
    </row>
    <row r="124" spans="1:4" x14ac:dyDescent="0.45">
      <c r="A124" s="29">
        <v>45840</v>
      </c>
      <c r="B124" s="13">
        <v>7290108357844</v>
      </c>
      <c r="C124" t="str">
        <f>_xlfn.XLOOKUP(B:B,PRODUCTS!A:A,PRODUCTS!E:E,"")</f>
        <v>S003</v>
      </c>
      <c r="D124">
        <v>56</v>
      </c>
    </row>
    <row r="125" spans="1:4" x14ac:dyDescent="0.45">
      <c r="A125" s="29">
        <v>45841</v>
      </c>
      <c r="B125" s="13">
        <v>7290000294780</v>
      </c>
      <c r="C125" t="str">
        <f>_xlfn.XLOOKUP(B:B,PRODUCTS!A:A,PRODUCTS!E:E,"")</f>
        <v>S001</v>
      </c>
      <c r="D125">
        <v>72</v>
      </c>
    </row>
    <row r="126" spans="1:4" x14ac:dyDescent="0.45">
      <c r="A126" s="29">
        <v>45841</v>
      </c>
      <c r="B126" s="13">
        <v>7290103704155</v>
      </c>
      <c r="C126" t="str">
        <f>_xlfn.XLOOKUP(B:B,PRODUCTS!A:A,PRODUCTS!E:E,"")</f>
        <v>S002</v>
      </c>
      <c r="D126">
        <v>74</v>
      </c>
    </row>
    <row r="127" spans="1:4" x14ac:dyDescent="0.45">
      <c r="A127" s="29">
        <v>45842</v>
      </c>
      <c r="B127" s="13">
        <v>4084500853836</v>
      </c>
      <c r="C127" t="str">
        <f>_xlfn.XLOOKUP(B:B,PRODUCTS!A:A,PRODUCTS!E:E,"")</f>
        <v>S003</v>
      </c>
      <c r="D127" s="28">
        <v>69</v>
      </c>
    </row>
    <row r="128" spans="1:4" x14ac:dyDescent="0.45">
      <c r="A128" s="29">
        <v>45842</v>
      </c>
      <c r="B128" s="13">
        <v>7290103702489</v>
      </c>
      <c r="C128" t="str">
        <f>_xlfn.XLOOKUP(B:B,PRODUCTS!A:A,PRODUCTS!E:E,"")</f>
        <v>S002</v>
      </c>
      <c r="D128" s="28">
        <v>74</v>
      </c>
    </row>
    <row r="129" spans="1:4" x14ac:dyDescent="0.45">
      <c r="A129" s="29">
        <v>45842</v>
      </c>
      <c r="B129" s="13">
        <v>7290103703370</v>
      </c>
      <c r="C129" t="str">
        <f>_xlfn.XLOOKUP(B:B,PRODUCTS!A:A,PRODUCTS!E:E,"")</f>
        <v>S002</v>
      </c>
      <c r="D129" s="28">
        <v>74</v>
      </c>
    </row>
    <row r="130" spans="1:4" x14ac:dyDescent="0.45">
      <c r="A130" s="29">
        <v>45842</v>
      </c>
      <c r="B130" s="13">
        <v>7290108357288</v>
      </c>
      <c r="C130" t="str">
        <f>_xlfn.XLOOKUP(B:B,PRODUCTS!A:A,PRODUCTS!E:E,"")</f>
        <v>S001</v>
      </c>
      <c r="D130" s="28">
        <v>76</v>
      </c>
    </row>
    <row r="131" spans="1:4" x14ac:dyDescent="0.45">
      <c r="A131" s="29">
        <v>45842</v>
      </c>
      <c r="B131" s="13">
        <v>8001090184412</v>
      </c>
      <c r="C131" t="str">
        <f>_xlfn.XLOOKUP(B:B,PRODUCTS!A:A,PRODUCTS!E:E,"")</f>
        <v>S003</v>
      </c>
      <c r="D131" s="28">
        <v>77</v>
      </c>
    </row>
    <row r="132" spans="1:4" x14ac:dyDescent="0.45">
      <c r="A132" s="29">
        <v>45843</v>
      </c>
      <c r="B132" s="13">
        <v>7290000286921</v>
      </c>
      <c r="C132" t="str">
        <f>_xlfn.XLOOKUP(B:B,PRODUCTS!A:A,PRODUCTS!E:E,"")</f>
        <v>S001</v>
      </c>
      <c r="D132">
        <v>38</v>
      </c>
    </row>
    <row r="133" spans="1:4" x14ac:dyDescent="0.45">
      <c r="A133" s="29">
        <v>45843</v>
      </c>
      <c r="B133" s="13">
        <v>7290103704179</v>
      </c>
      <c r="C133" t="str">
        <f>_xlfn.XLOOKUP(B:B,PRODUCTS!A:A,PRODUCTS!E:E,"")</f>
        <v>S002</v>
      </c>
      <c r="D133">
        <v>75</v>
      </c>
    </row>
    <row r="134" spans="1:4" x14ac:dyDescent="0.45">
      <c r="A134" s="29">
        <v>45843</v>
      </c>
      <c r="B134" s="13">
        <v>8006540429327</v>
      </c>
      <c r="C134" t="str">
        <f>_xlfn.XLOOKUP(B:B,PRODUCTS!A:A,PRODUCTS!E:E,"")</f>
        <v>S003</v>
      </c>
      <c r="D134">
        <v>77</v>
      </c>
    </row>
    <row r="135" spans="1:4" x14ac:dyDescent="0.45">
      <c r="A135" s="29">
        <v>45844</v>
      </c>
      <c r="B135" s="13">
        <v>7290000295367</v>
      </c>
      <c r="C135" t="str">
        <f>_xlfn.XLOOKUP(B:B,PRODUCTS!A:A,PRODUCTS!E:E,"")</f>
        <v>S001</v>
      </c>
      <c r="D135">
        <v>43</v>
      </c>
    </row>
    <row r="136" spans="1:4" x14ac:dyDescent="0.45">
      <c r="A136" s="29">
        <v>45844</v>
      </c>
      <c r="B136" s="13">
        <v>7290005425196</v>
      </c>
      <c r="C136" t="str">
        <f>_xlfn.XLOOKUP(B:B,PRODUCTS!A:A,PRODUCTS!E:E,"")</f>
        <v>S001</v>
      </c>
      <c r="D136">
        <v>45</v>
      </c>
    </row>
    <row r="137" spans="1:4" x14ac:dyDescent="0.45">
      <c r="A137" s="29">
        <v>45844</v>
      </c>
      <c r="B137" s="13">
        <v>7290103704919</v>
      </c>
      <c r="C137" t="str">
        <f>_xlfn.XLOOKUP(B:B,PRODUCTS!A:A,PRODUCTS!E:E,"")</f>
        <v>S002</v>
      </c>
      <c r="D137">
        <v>73</v>
      </c>
    </row>
    <row r="138" spans="1:4" x14ac:dyDescent="0.45">
      <c r="A138" s="29">
        <v>45844</v>
      </c>
      <c r="B138" s="13">
        <v>7290108357240</v>
      </c>
      <c r="C138" t="str">
        <f>_xlfn.XLOOKUP(B:B,PRODUCTS!A:A,PRODUCTS!E:E,"")</f>
        <v>S001</v>
      </c>
      <c r="D138">
        <v>51</v>
      </c>
    </row>
    <row r="139" spans="1:4" x14ac:dyDescent="0.45">
      <c r="A139" s="29">
        <v>45844</v>
      </c>
      <c r="B139" s="13">
        <v>8700216163811</v>
      </c>
      <c r="C139" t="str">
        <f>_xlfn.XLOOKUP(B:B,PRODUCTS!A:A,PRODUCTS!E:E,"")</f>
        <v>S003</v>
      </c>
      <c r="D139">
        <v>77</v>
      </c>
    </row>
    <row r="140" spans="1:4" x14ac:dyDescent="0.45">
      <c r="A140" s="29">
        <v>45845</v>
      </c>
      <c r="B140" s="13">
        <v>7290019274483</v>
      </c>
      <c r="C140" t="str">
        <f>_xlfn.XLOOKUP(B:B,PRODUCTS!A:A,PRODUCTS!E:E,"")</f>
        <v>S002</v>
      </c>
      <c r="D140" s="28">
        <v>46</v>
      </c>
    </row>
    <row r="141" spans="1:4" x14ac:dyDescent="0.45">
      <c r="A141" s="29">
        <v>45845</v>
      </c>
      <c r="B141" s="13">
        <v>8700216236751</v>
      </c>
      <c r="C141" t="str">
        <f>_xlfn.XLOOKUP(B:B,PRODUCTS!A:A,PRODUCTS!E:E,"")</f>
        <v>S003</v>
      </c>
      <c r="D141" s="28">
        <v>53</v>
      </c>
    </row>
    <row r="142" spans="1:4" x14ac:dyDescent="0.45">
      <c r="A142" s="29">
        <v>45846</v>
      </c>
      <c r="B142" s="13">
        <v>7290013268891</v>
      </c>
      <c r="C142" t="str">
        <f>_xlfn.XLOOKUP(B:B,PRODUCTS!A:A,PRODUCTS!E:E,"")</f>
        <v>S001</v>
      </c>
      <c r="D142">
        <v>46</v>
      </c>
    </row>
    <row r="143" spans="1:4" x14ac:dyDescent="0.45">
      <c r="A143" s="29">
        <v>45846</v>
      </c>
      <c r="B143" s="13">
        <v>7290013269003</v>
      </c>
      <c r="C143" t="str">
        <f>_xlfn.XLOOKUP(B:B,PRODUCTS!A:A,PRODUCTS!E:E,"")</f>
        <v>S001</v>
      </c>
      <c r="D143">
        <v>45</v>
      </c>
    </row>
    <row r="144" spans="1:4" x14ac:dyDescent="0.45">
      <c r="A144" s="29">
        <v>45846</v>
      </c>
      <c r="B144" s="13">
        <v>7290014397453</v>
      </c>
      <c r="C144" t="str">
        <f>_xlfn.XLOOKUP(B:B,PRODUCTS!A:A,PRODUCTS!E:E,"")</f>
        <v>S001</v>
      </c>
      <c r="D144">
        <v>47</v>
      </c>
    </row>
    <row r="145" spans="1:4" x14ac:dyDescent="0.45">
      <c r="A145" s="29">
        <v>45847</v>
      </c>
      <c r="B145" s="13">
        <v>7290012117534</v>
      </c>
      <c r="C145" t="str">
        <f>_xlfn.XLOOKUP(B:B,PRODUCTS!A:A,PRODUCTS!E:E,"")</f>
        <v>S001</v>
      </c>
      <c r="D145">
        <v>44</v>
      </c>
    </row>
    <row r="146" spans="1:4" x14ac:dyDescent="0.45">
      <c r="A146" s="29">
        <v>45847</v>
      </c>
      <c r="B146" s="13">
        <v>7290019274490</v>
      </c>
      <c r="C146" t="str">
        <f>_xlfn.XLOOKUP(B:B,PRODUCTS!A:A,PRODUCTS!E:E,"")</f>
        <v>S002</v>
      </c>
      <c r="D146">
        <v>47</v>
      </c>
    </row>
    <row r="147" spans="1:4" x14ac:dyDescent="0.45">
      <c r="A147" s="29">
        <v>45847</v>
      </c>
      <c r="B147" s="13">
        <v>8001841625362</v>
      </c>
      <c r="C147" t="str">
        <f>_xlfn.XLOOKUP(B:B,PRODUCTS!A:A,PRODUCTS!E:E,"")</f>
        <v>S003</v>
      </c>
      <c r="D147">
        <v>52</v>
      </c>
    </row>
    <row r="148" spans="1:4" x14ac:dyDescent="0.45">
      <c r="A148" s="29">
        <v>45848</v>
      </c>
      <c r="B148" s="13">
        <v>7290019611325</v>
      </c>
      <c r="C148" t="str">
        <f>_xlfn.XLOOKUP(B:B,PRODUCTS!A:A,PRODUCTS!E:E,"")</f>
        <v>S002</v>
      </c>
      <c r="D148" s="28">
        <v>45</v>
      </c>
    </row>
    <row r="149" spans="1:4" x14ac:dyDescent="0.45">
      <c r="A149" s="29">
        <v>45849</v>
      </c>
      <c r="B149" s="13">
        <v>8700216236034</v>
      </c>
      <c r="C149" t="str">
        <f>_xlfn.XLOOKUP(B:B,PRODUCTS!A:A,PRODUCTS!E:E,"")</f>
        <v>S003</v>
      </c>
      <c r="D149">
        <v>51</v>
      </c>
    </row>
    <row r="150" spans="1:4" x14ac:dyDescent="0.45">
      <c r="A150" s="29">
        <v>45850</v>
      </c>
      <c r="B150" s="13">
        <v>8001090184375</v>
      </c>
      <c r="C150" t="str">
        <f>_xlfn.XLOOKUP(B:B,PRODUCTS!A:A,PRODUCTS!E:E,"")</f>
        <v>S003</v>
      </c>
      <c r="D150">
        <v>49</v>
      </c>
    </row>
    <row r="151" spans="1:4" x14ac:dyDescent="0.45">
      <c r="A151" s="29">
        <v>45853</v>
      </c>
      <c r="B151" s="13">
        <v>4084500853836</v>
      </c>
      <c r="C151" t="str">
        <f>_xlfn.XLOOKUP(B:B,PRODUCTS!A:A,PRODUCTS!E:E,"")</f>
        <v>S003</v>
      </c>
      <c r="D151">
        <v>69</v>
      </c>
    </row>
    <row r="152" spans="1:4" x14ac:dyDescent="0.45">
      <c r="A152" s="29">
        <v>45853</v>
      </c>
      <c r="B152" s="13">
        <v>7290103702489</v>
      </c>
      <c r="C152" t="str">
        <f>_xlfn.XLOOKUP(B:B,PRODUCTS!A:A,PRODUCTS!E:E,"")</f>
        <v>S002</v>
      </c>
      <c r="D152">
        <v>74</v>
      </c>
    </row>
    <row r="153" spans="1:4" x14ac:dyDescent="0.45">
      <c r="A153" s="29">
        <v>45853</v>
      </c>
      <c r="B153" s="13">
        <v>7290103703370</v>
      </c>
      <c r="C153" t="str">
        <f>_xlfn.XLOOKUP(B:B,PRODUCTS!A:A,PRODUCTS!E:E,"")</f>
        <v>S002</v>
      </c>
      <c r="D153">
        <v>74</v>
      </c>
    </row>
    <row r="154" spans="1:4" x14ac:dyDescent="0.45">
      <c r="A154" s="29">
        <v>45853</v>
      </c>
      <c r="B154" s="13">
        <v>7290103704179</v>
      </c>
      <c r="C154" t="str">
        <f>_xlfn.XLOOKUP(B:B,PRODUCTS!A:A,PRODUCTS!E:E,"")</f>
        <v>S002</v>
      </c>
      <c r="D154">
        <v>75</v>
      </c>
    </row>
    <row r="155" spans="1:4" x14ac:dyDescent="0.45">
      <c r="A155" s="29">
        <v>45853</v>
      </c>
      <c r="B155" s="13">
        <v>7290108357288</v>
      </c>
      <c r="C155" t="str">
        <f>_xlfn.XLOOKUP(B:B,PRODUCTS!A:A,PRODUCTS!E:E,"")</f>
        <v>S001</v>
      </c>
      <c r="D155">
        <v>76</v>
      </c>
    </row>
    <row r="156" spans="1:4" x14ac:dyDescent="0.45">
      <c r="A156" s="29">
        <v>45853</v>
      </c>
      <c r="B156" s="13">
        <v>8001090184412</v>
      </c>
      <c r="C156" t="str">
        <f>_xlfn.XLOOKUP(B:B,PRODUCTS!A:A,PRODUCTS!E:E,"")</f>
        <v>S003</v>
      </c>
      <c r="D156">
        <v>77</v>
      </c>
    </row>
    <row r="157" spans="1:4" x14ac:dyDescent="0.45">
      <c r="A157" s="29">
        <v>45854</v>
      </c>
      <c r="B157" s="13">
        <v>4084500088917</v>
      </c>
      <c r="C157" t="str">
        <f>_xlfn.XLOOKUP(B:B,PRODUCTS!A:A,PRODUCTS!E:E,"")</f>
        <v>S003</v>
      </c>
      <c r="D157" s="28">
        <v>70</v>
      </c>
    </row>
    <row r="158" spans="1:4" x14ac:dyDescent="0.45">
      <c r="A158" s="29">
        <v>45854</v>
      </c>
      <c r="B158" s="13">
        <v>7290000288024</v>
      </c>
      <c r="C158" t="str">
        <f>_xlfn.XLOOKUP(B:B,PRODUCTS!A:A,PRODUCTS!E:E,"")</f>
        <v>S001</v>
      </c>
      <c r="D158" s="28">
        <v>71</v>
      </c>
    </row>
    <row r="159" spans="1:4" x14ac:dyDescent="0.45">
      <c r="A159" s="29">
        <v>45854</v>
      </c>
      <c r="B159" s="13">
        <v>7290000294780</v>
      </c>
      <c r="C159" t="str">
        <f>_xlfn.XLOOKUP(B:B,PRODUCTS!A:A,PRODUCTS!E:E,"")</f>
        <v>S001</v>
      </c>
      <c r="D159" s="28">
        <v>72</v>
      </c>
    </row>
    <row r="160" spans="1:4" x14ac:dyDescent="0.45">
      <c r="A160" s="29">
        <v>45854</v>
      </c>
      <c r="B160" s="13">
        <v>7290103704155</v>
      </c>
      <c r="C160" t="str">
        <f>_xlfn.XLOOKUP(B:B,PRODUCTS!A:A,PRODUCTS!E:E,"")</f>
        <v>S002</v>
      </c>
      <c r="D160" s="28">
        <v>74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05D4-EB38-432A-8B91-837AAEBDC924}">
  <sheetPr codeName="Sheet4"/>
  <dimension ref="A1:D2402"/>
  <sheetViews>
    <sheetView topLeftCell="A1462" zoomScale="130" zoomScaleNormal="130" workbookViewId="0">
      <selection activeCell="A2206" sqref="A2206"/>
    </sheetView>
  </sheetViews>
  <sheetFormatPr defaultRowHeight="14.25" x14ac:dyDescent="0.45"/>
  <cols>
    <col min="1" max="1" width="21.86328125" style="29" bestFit="1" customWidth="1"/>
    <col min="2" max="2" width="13.9296875" bestFit="1" customWidth="1"/>
    <col min="3" max="3" width="12.1328125" customWidth="1"/>
    <col min="4" max="4" width="13.19921875" customWidth="1"/>
    <col min="7" max="7" width="12.46484375" bestFit="1" customWidth="1"/>
    <col min="8" max="8" width="19.19921875" bestFit="1" customWidth="1"/>
  </cols>
  <sheetData>
    <row r="1" spans="1:4" x14ac:dyDescent="0.45">
      <c r="A1" s="29" t="s">
        <v>13</v>
      </c>
      <c r="B1" t="s">
        <v>0</v>
      </c>
      <c r="C1" t="s">
        <v>7</v>
      </c>
      <c r="D1" t="s">
        <v>10</v>
      </c>
    </row>
    <row r="2" spans="1:4" x14ac:dyDescent="0.45">
      <c r="A2" s="29">
        <v>45809</v>
      </c>
      <c r="B2" s="13">
        <v>4084500088917</v>
      </c>
      <c r="C2" t="s">
        <v>22</v>
      </c>
      <c r="D2">
        <v>5</v>
      </c>
    </row>
    <row r="3" spans="1:4" x14ac:dyDescent="0.45">
      <c r="A3" s="29">
        <v>45809</v>
      </c>
      <c r="B3" s="13">
        <v>4084500853836</v>
      </c>
      <c r="C3" t="s">
        <v>22</v>
      </c>
      <c r="D3">
        <v>4</v>
      </c>
    </row>
    <row r="4" spans="1:4" x14ac:dyDescent="0.45">
      <c r="A4" s="29">
        <v>45809</v>
      </c>
      <c r="B4" s="11">
        <v>7290000286921</v>
      </c>
      <c r="C4" t="s">
        <v>22</v>
      </c>
      <c r="D4">
        <v>2</v>
      </c>
    </row>
    <row r="5" spans="1:4" x14ac:dyDescent="0.45">
      <c r="A5" s="29">
        <v>45809</v>
      </c>
      <c r="B5" s="11">
        <v>7290000288024</v>
      </c>
      <c r="C5" t="s">
        <v>22</v>
      </c>
      <c r="D5">
        <v>4</v>
      </c>
    </row>
    <row r="6" spans="1:4" x14ac:dyDescent="0.45">
      <c r="A6" s="29">
        <v>45809</v>
      </c>
      <c r="B6" s="11">
        <v>7290000288307</v>
      </c>
      <c r="C6" t="s">
        <v>22</v>
      </c>
      <c r="D6">
        <v>0</v>
      </c>
    </row>
    <row r="7" spans="1:4" x14ac:dyDescent="0.45">
      <c r="A7" s="29">
        <v>45809</v>
      </c>
      <c r="B7" s="11">
        <v>7290000288659</v>
      </c>
      <c r="C7" t="s">
        <v>22</v>
      </c>
      <c r="D7">
        <v>0</v>
      </c>
    </row>
    <row r="8" spans="1:4" x14ac:dyDescent="0.45">
      <c r="A8" s="29">
        <v>45809</v>
      </c>
      <c r="B8" s="11">
        <v>7290000292915</v>
      </c>
      <c r="C8" t="s">
        <v>22</v>
      </c>
      <c r="D8">
        <v>3</v>
      </c>
    </row>
    <row r="9" spans="1:4" x14ac:dyDescent="0.45">
      <c r="A9" s="29">
        <v>45809</v>
      </c>
      <c r="B9" s="11">
        <v>7290000294780</v>
      </c>
      <c r="C9" t="s">
        <v>22</v>
      </c>
      <c r="D9">
        <v>4</v>
      </c>
    </row>
    <row r="10" spans="1:4" x14ac:dyDescent="0.45">
      <c r="A10" s="29">
        <v>45809</v>
      </c>
      <c r="B10" s="11">
        <v>7290000295367</v>
      </c>
      <c r="C10" t="s">
        <v>22</v>
      </c>
      <c r="D10">
        <v>2</v>
      </c>
    </row>
    <row r="11" spans="1:4" x14ac:dyDescent="0.45">
      <c r="A11" s="29">
        <v>45809</v>
      </c>
      <c r="B11" s="11">
        <v>7290000295541</v>
      </c>
      <c r="C11" t="s">
        <v>22</v>
      </c>
      <c r="D11">
        <v>0</v>
      </c>
    </row>
    <row r="12" spans="1:4" x14ac:dyDescent="0.45">
      <c r="A12" s="29">
        <v>45809</v>
      </c>
      <c r="B12" s="14">
        <v>7290001246610</v>
      </c>
      <c r="C12" t="s">
        <v>22</v>
      </c>
      <c r="D12">
        <v>2</v>
      </c>
    </row>
    <row r="13" spans="1:4" x14ac:dyDescent="0.45">
      <c r="A13" s="29">
        <v>45809</v>
      </c>
      <c r="B13" s="11">
        <v>7290005424700</v>
      </c>
      <c r="C13" t="s">
        <v>22</v>
      </c>
      <c r="D13">
        <v>2</v>
      </c>
    </row>
    <row r="14" spans="1:4" x14ac:dyDescent="0.45">
      <c r="A14" s="29">
        <v>45809</v>
      </c>
      <c r="B14" s="11">
        <v>7290005425110</v>
      </c>
      <c r="C14" t="s">
        <v>22</v>
      </c>
      <c r="D14">
        <v>2</v>
      </c>
    </row>
    <row r="15" spans="1:4" x14ac:dyDescent="0.45">
      <c r="A15" s="29">
        <v>45809</v>
      </c>
      <c r="B15" s="11">
        <v>7290005425196</v>
      </c>
      <c r="C15" t="s">
        <v>22</v>
      </c>
      <c r="D15">
        <v>2</v>
      </c>
    </row>
    <row r="16" spans="1:4" x14ac:dyDescent="0.45">
      <c r="A16" s="29">
        <v>45809</v>
      </c>
      <c r="B16" s="11">
        <v>7290012116025</v>
      </c>
      <c r="C16" t="s">
        <v>22</v>
      </c>
      <c r="D16">
        <v>5</v>
      </c>
    </row>
    <row r="17" spans="1:4" x14ac:dyDescent="0.45">
      <c r="A17" s="29">
        <v>45809</v>
      </c>
      <c r="B17" s="11">
        <v>7290012117534</v>
      </c>
      <c r="C17" t="s">
        <v>22</v>
      </c>
      <c r="D17">
        <v>2</v>
      </c>
    </row>
    <row r="18" spans="1:4" x14ac:dyDescent="0.45">
      <c r="A18" s="29">
        <v>45809</v>
      </c>
      <c r="B18" s="11">
        <v>7290013268204</v>
      </c>
      <c r="C18" t="s">
        <v>22</v>
      </c>
      <c r="D18">
        <v>0</v>
      </c>
    </row>
    <row r="19" spans="1:4" x14ac:dyDescent="0.45">
      <c r="A19" s="29">
        <v>45809</v>
      </c>
      <c r="B19" s="11">
        <v>7290013268891</v>
      </c>
      <c r="C19" t="s">
        <v>22</v>
      </c>
      <c r="D19">
        <v>1</v>
      </c>
    </row>
    <row r="20" spans="1:4" x14ac:dyDescent="0.45">
      <c r="A20" s="29">
        <v>45809</v>
      </c>
      <c r="B20" s="11">
        <v>7290013269003</v>
      </c>
      <c r="C20" t="s">
        <v>22</v>
      </c>
      <c r="D20">
        <v>1</v>
      </c>
    </row>
    <row r="21" spans="1:4" x14ac:dyDescent="0.45">
      <c r="A21" s="29">
        <v>45809</v>
      </c>
      <c r="B21" s="11">
        <v>7290014397453</v>
      </c>
      <c r="C21" t="s">
        <v>22</v>
      </c>
      <c r="D21">
        <v>1</v>
      </c>
    </row>
    <row r="22" spans="1:4" x14ac:dyDescent="0.45">
      <c r="A22" s="29">
        <v>45809</v>
      </c>
      <c r="B22" s="14">
        <v>7290019274483</v>
      </c>
      <c r="C22" t="s">
        <v>22</v>
      </c>
      <c r="D22">
        <v>1</v>
      </c>
    </row>
    <row r="23" spans="1:4" x14ac:dyDescent="0.45">
      <c r="A23" s="29">
        <v>45809</v>
      </c>
      <c r="B23" s="14">
        <v>7290019274490</v>
      </c>
      <c r="C23" t="s">
        <v>22</v>
      </c>
      <c r="D23">
        <v>2</v>
      </c>
    </row>
    <row r="24" spans="1:4" x14ac:dyDescent="0.45">
      <c r="A24" s="29">
        <v>45809</v>
      </c>
      <c r="B24" s="14">
        <v>7290019611325</v>
      </c>
      <c r="C24" t="s">
        <v>22</v>
      </c>
      <c r="D24">
        <v>1</v>
      </c>
    </row>
    <row r="25" spans="1:4" x14ac:dyDescent="0.45">
      <c r="A25" s="29">
        <v>45809</v>
      </c>
      <c r="B25" s="14">
        <v>7290103702489</v>
      </c>
      <c r="C25" t="s">
        <v>22</v>
      </c>
      <c r="D25">
        <v>4</v>
      </c>
    </row>
    <row r="26" spans="1:4" x14ac:dyDescent="0.45">
      <c r="A26" s="29">
        <v>45809</v>
      </c>
      <c r="B26" s="14">
        <v>7290103703370</v>
      </c>
      <c r="C26" t="s">
        <v>22</v>
      </c>
      <c r="D26">
        <v>4</v>
      </c>
    </row>
    <row r="27" spans="1:4" x14ac:dyDescent="0.45">
      <c r="A27" s="29">
        <v>45809</v>
      </c>
      <c r="B27" s="14">
        <v>7290103704155</v>
      </c>
      <c r="C27" t="s">
        <v>22</v>
      </c>
      <c r="D27">
        <v>5</v>
      </c>
    </row>
    <row r="28" spans="1:4" x14ac:dyDescent="0.45">
      <c r="A28" s="29">
        <v>45809</v>
      </c>
      <c r="B28" s="14">
        <v>7290103704179</v>
      </c>
      <c r="C28" t="s">
        <v>22</v>
      </c>
      <c r="D28">
        <v>4</v>
      </c>
    </row>
    <row r="29" spans="1:4" x14ac:dyDescent="0.45">
      <c r="A29" s="29">
        <v>45809</v>
      </c>
      <c r="B29" s="14">
        <v>7290103704919</v>
      </c>
      <c r="C29" t="s">
        <v>22</v>
      </c>
      <c r="D29">
        <v>5</v>
      </c>
    </row>
    <row r="30" spans="1:4" x14ac:dyDescent="0.45">
      <c r="A30" s="29">
        <v>45809</v>
      </c>
      <c r="B30" s="11">
        <v>7290107280099</v>
      </c>
      <c r="C30" t="s">
        <v>22</v>
      </c>
      <c r="D30">
        <v>1</v>
      </c>
    </row>
    <row r="31" spans="1:4" x14ac:dyDescent="0.45">
      <c r="A31" s="29">
        <v>45809</v>
      </c>
      <c r="B31" s="11">
        <v>7290108351699</v>
      </c>
      <c r="C31" t="s">
        <v>22</v>
      </c>
      <c r="D31">
        <v>3</v>
      </c>
    </row>
    <row r="32" spans="1:4" x14ac:dyDescent="0.45">
      <c r="A32" s="29">
        <v>45809</v>
      </c>
      <c r="B32" s="11">
        <v>7290108352702</v>
      </c>
      <c r="C32" t="s">
        <v>22</v>
      </c>
      <c r="D32">
        <v>0</v>
      </c>
    </row>
    <row r="33" spans="1:4" x14ac:dyDescent="0.45">
      <c r="A33" s="29">
        <v>45809</v>
      </c>
      <c r="B33" s="11">
        <v>7290108356298</v>
      </c>
      <c r="C33" t="s">
        <v>22</v>
      </c>
      <c r="D33">
        <v>3</v>
      </c>
    </row>
    <row r="34" spans="1:4" x14ac:dyDescent="0.45">
      <c r="A34" s="29">
        <v>45809</v>
      </c>
      <c r="B34" s="15">
        <v>7290108356700</v>
      </c>
      <c r="C34" t="s">
        <v>22</v>
      </c>
      <c r="D34">
        <v>0</v>
      </c>
    </row>
    <row r="35" spans="1:4" x14ac:dyDescent="0.45">
      <c r="A35" s="29">
        <v>45809</v>
      </c>
      <c r="B35" s="11">
        <v>7290108356717</v>
      </c>
      <c r="C35" t="s">
        <v>22</v>
      </c>
      <c r="D35">
        <v>3</v>
      </c>
    </row>
    <row r="36" spans="1:4" x14ac:dyDescent="0.45">
      <c r="A36" s="29">
        <v>45809</v>
      </c>
      <c r="B36" s="10">
        <v>7290108356724</v>
      </c>
      <c r="C36" t="s">
        <v>22</v>
      </c>
      <c r="D36">
        <v>2</v>
      </c>
    </row>
    <row r="37" spans="1:4" x14ac:dyDescent="0.45">
      <c r="A37" s="29">
        <v>45809</v>
      </c>
      <c r="B37" s="11">
        <v>7290108357240</v>
      </c>
      <c r="C37" t="s">
        <v>22</v>
      </c>
      <c r="D37">
        <v>2</v>
      </c>
    </row>
    <row r="38" spans="1:4" x14ac:dyDescent="0.45">
      <c r="A38" s="29">
        <v>45809</v>
      </c>
      <c r="B38" s="11">
        <v>7290108357288</v>
      </c>
      <c r="C38" t="s">
        <v>22</v>
      </c>
      <c r="D38">
        <v>5</v>
      </c>
    </row>
    <row r="39" spans="1:4" x14ac:dyDescent="0.45">
      <c r="A39" s="29">
        <v>45809</v>
      </c>
      <c r="B39" s="11">
        <v>7290108357844</v>
      </c>
      <c r="C39" t="s">
        <v>22</v>
      </c>
      <c r="D39">
        <v>2</v>
      </c>
    </row>
    <row r="40" spans="1:4" x14ac:dyDescent="0.45">
      <c r="A40" s="29">
        <v>45809</v>
      </c>
      <c r="B40" s="15">
        <v>7290108359077</v>
      </c>
      <c r="C40" t="s">
        <v>22</v>
      </c>
      <c r="D40">
        <v>1</v>
      </c>
    </row>
    <row r="41" spans="1:4" x14ac:dyDescent="0.45">
      <c r="A41" s="29">
        <v>45809</v>
      </c>
      <c r="B41" s="11">
        <v>7290108359176</v>
      </c>
      <c r="C41" t="s">
        <v>22</v>
      </c>
      <c r="D41">
        <v>0</v>
      </c>
    </row>
    <row r="42" spans="1:4" x14ac:dyDescent="0.45">
      <c r="A42" s="29">
        <v>45809</v>
      </c>
      <c r="B42" s="15">
        <v>7290108359190</v>
      </c>
      <c r="C42" t="s">
        <v>22</v>
      </c>
      <c r="D42">
        <v>1</v>
      </c>
    </row>
    <row r="43" spans="1:4" x14ac:dyDescent="0.45">
      <c r="A43" s="29">
        <v>45809</v>
      </c>
      <c r="B43" s="13">
        <v>8001090184375</v>
      </c>
      <c r="C43" t="s">
        <v>22</v>
      </c>
      <c r="D43">
        <v>2</v>
      </c>
    </row>
    <row r="44" spans="1:4" x14ac:dyDescent="0.45">
      <c r="A44" s="29">
        <v>45809</v>
      </c>
      <c r="B44" s="13">
        <v>8001090184412</v>
      </c>
      <c r="C44" t="s">
        <v>22</v>
      </c>
      <c r="D44">
        <v>4</v>
      </c>
    </row>
    <row r="45" spans="1:4" x14ac:dyDescent="0.45">
      <c r="A45" s="29">
        <v>45809</v>
      </c>
      <c r="B45" s="13">
        <v>8001841625362</v>
      </c>
      <c r="C45" t="s">
        <v>22</v>
      </c>
      <c r="D45">
        <v>1</v>
      </c>
    </row>
    <row r="46" spans="1:4" x14ac:dyDescent="0.45">
      <c r="A46" s="29">
        <v>45809</v>
      </c>
      <c r="B46" s="13">
        <v>8001841893990</v>
      </c>
      <c r="C46" t="s">
        <v>22</v>
      </c>
      <c r="D46">
        <v>1</v>
      </c>
    </row>
    <row r="47" spans="1:4" x14ac:dyDescent="0.45">
      <c r="A47" s="29">
        <v>45809</v>
      </c>
      <c r="B47" s="13">
        <v>8006540429327</v>
      </c>
      <c r="C47" t="s">
        <v>22</v>
      </c>
      <c r="D47">
        <v>5</v>
      </c>
    </row>
    <row r="48" spans="1:4" x14ac:dyDescent="0.45">
      <c r="A48" s="29">
        <v>45809</v>
      </c>
      <c r="B48" s="13">
        <v>8700216163811</v>
      </c>
      <c r="C48" t="s">
        <v>22</v>
      </c>
      <c r="D48">
        <v>5</v>
      </c>
    </row>
    <row r="49" spans="1:4" x14ac:dyDescent="0.45">
      <c r="A49" s="29">
        <v>45809</v>
      </c>
      <c r="B49" s="13">
        <v>8700216236034</v>
      </c>
      <c r="C49" t="s">
        <v>22</v>
      </c>
      <c r="D49">
        <v>0</v>
      </c>
    </row>
    <row r="50" spans="1:4" x14ac:dyDescent="0.45">
      <c r="A50" s="29">
        <v>45809</v>
      </c>
      <c r="B50" s="13">
        <v>8700216236751</v>
      </c>
      <c r="C50" t="s">
        <v>22</v>
      </c>
      <c r="D50">
        <v>2</v>
      </c>
    </row>
    <row r="51" spans="1:4" x14ac:dyDescent="0.45">
      <c r="A51" s="29">
        <v>45810</v>
      </c>
      <c r="B51" s="13">
        <v>4084500088917</v>
      </c>
      <c r="C51" t="s">
        <v>22</v>
      </c>
      <c r="D51">
        <v>5</v>
      </c>
    </row>
    <row r="52" spans="1:4" x14ac:dyDescent="0.45">
      <c r="A52" s="29">
        <v>45810</v>
      </c>
      <c r="B52" s="13">
        <v>4084500853836</v>
      </c>
      <c r="C52" t="s">
        <v>22</v>
      </c>
      <c r="D52">
        <v>5</v>
      </c>
    </row>
    <row r="53" spans="1:4" x14ac:dyDescent="0.45">
      <c r="A53" s="29">
        <v>45810</v>
      </c>
      <c r="B53" s="13">
        <v>7290000286921</v>
      </c>
      <c r="C53" t="s">
        <v>22</v>
      </c>
      <c r="D53">
        <v>2</v>
      </c>
    </row>
    <row r="54" spans="1:4" x14ac:dyDescent="0.45">
      <c r="A54" s="29">
        <v>45810</v>
      </c>
      <c r="B54" s="13">
        <v>7290000288024</v>
      </c>
      <c r="C54" t="s">
        <v>22</v>
      </c>
      <c r="D54">
        <v>5</v>
      </c>
    </row>
    <row r="55" spans="1:4" x14ac:dyDescent="0.45">
      <c r="A55" s="29">
        <v>45810</v>
      </c>
      <c r="B55" s="13">
        <v>7290000288307</v>
      </c>
      <c r="C55" t="s">
        <v>22</v>
      </c>
      <c r="D55">
        <v>0</v>
      </c>
    </row>
    <row r="56" spans="1:4" x14ac:dyDescent="0.45">
      <c r="A56" s="29">
        <v>45810</v>
      </c>
      <c r="B56" s="13">
        <v>7290000288659</v>
      </c>
      <c r="C56" t="s">
        <v>22</v>
      </c>
      <c r="D56">
        <v>0</v>
      </c>
    </row>
    <row r="57" spans="1:4" x14ac:dyDescent="0.45">
      <c r="A57" s="29">
        <v>45810</v>
      </c>
      <c r="B57" s="13">
        <v>7290000292915</v>
      </c>
      <c r="C57" t="s">
        <v>22</v>
      </c>
      <c r="D57">
        <v>3</v>
      </c>
    </row>
    <row r="58" spans="1:4" x14ac:dyDescent="0.45">
      <c r="A58" s="29">
        <v>45810</v>
      </c>
      <c r="B58" s="13">
        <v>7290000294780</v>
      </c>
      <c r="C58" t="s">
        <v>22</v>
      </c>
      <c r="D58">
        <v>4</v>
      </c>
    </row>
    <row r="59" spans="1:4" x14ac:dyDescent="0.45">
      <c r="A59" s="29">
        <v>45810</v>
      </c>
      <c r="B59" s="13">
        <v>7290000295367</v>
      </c>
      <c r="C59" t="s">
        <v>22</v>
      </c>
      <c r="D59">
        <v>2</v>
      </c>
    </row>
    <row r="60" spans="1:4" x14ac:dyDescent="0.45">
      <c r="A60" s="29">
        <v>45810</v>
      </c>
      <c r="B60" s="13">
        <v>7290000295541</v>
      </c>
      <c r="C60" t="s">
        <v>22</v>
      </c>
      <c r="D60">
        <v>0</v>
      </c>
    </row>
    <row r="61" spans="1:4" x14ac:dyDescent="0.45">
      <c r="A61" s="29">
        <v>45810</v>
      </c>
      <c r="B61" s="13">
        <v>7290001246610</v>
      </c>
      <c r="C61" t="s">
        <v>22</v>
      </c>
      <c r="D61">
        <v>2</v>
      </c>
    </row>
    <row r="62" spans="1:4" x14ac:dyDescent="0.45">
      <c r="A62" s="29">
        <v>45810</v>
      </c>
      <c r="B62" s="13">
        <v>7290005424700</v>
      </c>
      <c r="C62" t="s">
        <v>22</v>
      </c>
      <c r="D62">
        <v>2</v>
      </c>
    </row>
    <row r="63" spans="1:4" x14ac:dyDescent="0.45">
      <c r="A63" s="29">
        <v>45810</v>
      </c>
      <c r="B63" s="13">
        <v>7290005425110</v>
      </c>
      <c r="C63" t="s">
        <v>22</v>
      </c>
      <c r="D63">
        <v>2</v>
      </c>
    </row>
    <row r="64" spans="1:4" x14ac:dyDescent="0.45">
      <c r="A64" s="29">
        <v>45810</v>
      </c>
      <c r="B64" s="13">
        <v>7290005425196</v>
      </c>
      <c r="C64" t="s">
        <v>22</v>
      </c>
      <c r="D64">
        <v>2</v>
      </c>
    </row>
    <row r="65" spans="1:4" x14ac:dyDescent="0.45">
      <c r="A65" s="29">
        <v>45810</v>
      </c>
      <c r="B65" s="13">
        <v>7290012116025</v>
      </c>
      <c r="C65" t="s">
        <v>22</v>
      </c>
      <c r="D65">
        <v>2</v>
      </c>
    </row>
    <row r="66" spans="1:4" x14ac:dyDescent="0.45">
      <c r="A66" s="29">
        <v>45810</v>
      </c>
      <c r="B66" s="13">
        <v>7290012117534</v>
      </c>
      <c r="C66" t="s">
        <v>22</v>
      </c>
      <c r="D66">
        <v>1</v>
      </c>
    </row>
    <row r="67" spans="1:4" x14ac:dyDescent="0.45">
      <c r="A67" s="29">
        <v>45810</v>
      </c>
      <c r="B67" s="13">
        <v>7290013268204</v>
      </c>
      <c r="C67" t="s">
        <v>22</v>
      </c>
      <c r="D67">
        <v>0</v>
      </c>
    </row>
    <row r="68" spans="1:4" x14ac:dyDescent="0.45">
      <c r="A68" s="29">
        <v>45810</v>
      </c>
      <c r="B68" s="13">
        <v>7290013268891</v>
      </c>
      <c r="C68" t="s">
        <v>22</v>
      </c>
      <c r="D68">
        <v>2</v>
      </c>
    </row>
    <row r="69" spans="1:4" x14ac:dyDescent="0.45">
      <c r="A69" s="29">
        <v>45810</v>
      </c>
      <c r="B69" s="13">
        <v>7290013269003</v>
      </c>
      <c r="C69" t="s">
        <v>22</v>
      </c>
      <c r="D69">
        <v>2</v>
      </c>
    </row>
    <row r="70" spans="1:4" x14ac:dyDescent="0.45">
      <c r="A70" s="29">
        <v>45810</v>
      </c>
      <c r="B70" s="13">
        <v>7290014397453</v>
      </c>
      <c r="C70" t="s">
        <v>22</v>
      </c>
      <c r="D70">
        <v>1</v>
      </c>
    </row>
    <row r="71" spans="1:4" x14ac:dyDescent="0.45">
      <c r="A71" s="29">
        <v>45810</v>
      </c>
      <c r="B71" s="13">
        <v>7290019274483</v>
      </c>
      <c r="C71" t="s">
        <v>22</v>
      </c>
      <c r="D71">
        <v>2</v>
      </c>
    </row>
    <row r="72" spans="1:4" x14ac:dyDescent="0.45">
      <c r="A72" s="29">
        <v>45810</v>
      </c>
      <c r="B72" s="13">
        <v>7290019274490</v>
      </c>
      <c r="C72" t="s">
        <v>22</v>
      </c>
      <c r="D72">
        <v>1</v>
      </c>
    </row>
    <row r="73" spans="1:4" x14ac:dyDescent="0.45">
      <c r="A73" s="29">
        <v>45810</v>
      </c>
      <c r="B73" s="13">
        <v>7290019611325</v>
      </c>
      <c r="C73" t="s">
        <v>22</v>
      </c>
      <c r="D73">
        <v>1</v>
      </c>
    </row>
    <row r="74" spans="1:4" x14ac:dyDescent="0.45">
      <c r="A74" s="29">
        <v>45810</v>
      </c>
      <c r="B74" s="13">
        <v>7290103702489</v>
      </c>
      <c r="C74" t="s">
        <v>22</v>
      </c>
      <c r="D74">
        <v>4</v>
      </c>
    </row>
    <row r="75" spans="1:4" x14ac:dyDescent="0.45">
      <c r="A75" s="29">
        <v>45810</v>
      </c>
      <c r="B75" s="13">
        <v>7290103703370</v>
      </c>
      <c r="C75" t="s">
        <v>22</v>
      </c>
      <c r="D75">
        <v>4</v>
      </c>
    </row>
    <row r="76" spans="1:4" x14ac:dyDescent="0.45">
      <c r="A76" s="29">
        <v>45810</v>
      </c>
      <c r="B76" s="13">
        <v>7290103704155</v>
      </c>
      <c r="C76" t="s">
        <v>22</v>
      </c>
      <c r="D76">
        <v>4</v>
      </c>
    </row>
    <row r="77" spans="1:4" x14ac:dyDescent="0.45">
      <c r="A77" s="29">
        <v>45810</v>
      </c>
      <c r="B77" s="13">
        <v>7290103704179</v>
      </c>
      <c r="C77" t="s">
        <v>22</v>
      </c>
      <c r="D77">
        <v>4</v>
      </c>
    </row>
    <row r="78" spans="1:4" x14ac:dyDescent="0.45">
      <c r="A78" s="29">
        <v>45810</v>
      </c>
      <c r="B78" s="13">
        <v>7290103704919</v>
      </c>
      <c r="C78" t="s">
        <v>22</v>
      </c>
      <c r="D78">
        <v>4</v>
      </c>
    </row>
    <row r="79" spans="1:4" x14ac:dyDescent="0.45">
      <c r="A79" s="29">
        <v>45810</v>
      </c>
      <c r="B79" s="13">
        <v>7290107280099</v>
      </c>
      <c r="C79" t="s">
        <v>22</v>
      </c>
      <c r="D79">
        <v>1</v>
      </c>
    </row>
    <row r="80" spans="1:4" x14ac:dyDescent="0.45">
      <c r="A80" s="29">
        <v>45810</v>
      </c>
      <c r="B80" s="13">
        <v>7290108351699</v>
      </c>
      <c r="C80" t="s">
        <v>22</v>
      </c>
      <c r="D80">
        <v>3</v>
      </c>
    </row>
    <row r="81" spans="1:4" x14ac:dyDescent="0.45">
      <c r="A81" s="29">
        <v>45810</v>
      </c>
      <c r="B81" s="13">
        <v>7290108352702</v>
      </c>
      <c r="C81" t="s">
        <v>22</v>
      </c>
      <c r="D81">
        <v>1</v>
      </c>
    </row>
    <row r="82" spans="1:4" x14ac:dyDescent="0.45">
      <c r="A82" s="29">
        <v>45810</v>
      </c>
      <c r="B82" s="13">
        <v>7290108356298</v>
      </c>
      <c r="C82" t="s">
        <v>22</v>
      </c>
      <c r="D82">
        <v>2</v>
      </c>
    </row>
    <row r="83" spans="1:4" x14ac:dyDescent="0.45">
      <c r="A83" s="29">
        <v>45810</v>
      </c>
      <c r="B83" s="13">
        <v>7290108356700</v>
      </c>
      <c r="C83" t="s">
        <v>22</v>
      </c>
      <c r="D83">
        <v>0</v>
      </c>
    </row>
    <row r="84" spans="1:4" x14ac:dyDescent="0.45">
      <c r="A84" s="29">
        <v>45810</v>
      </c>
      <c r="B84" s="13">
        <v>7290108356717</v>
      </c>
      <c r="C84" t="s">
        <v>22</v>
      </c>
      <c r="D84">
        <v>3</v>
      </c>
    </row>
    <row r="85" spans="1:4" x14ac:dyDescent="0.45">
      <c r="A85" s="29">
        <v>45810</v>
      </c>
      <c r="B85" s="13">
        <v>7290108356724</v>
      </c>
      <c r="C85" t="s">
        <v>22</v>
      </c>
      <c r="D85">
        <v>3</v>
      </c>
    </row>
    <row r="86" spans="1:4" x14ac:dyDescent="0.45">
      <c r="A86" s="29">
        <v>45810</v>
      </c>
      <c r="B86" s="13">
        <v>7290108357240</v>
      </c>
      <c r="C86" t="s">
        <v>22</v>
      </c>
      <c r="D86">
        <v>1</v>
      </c>
    </row>
    <row r="87" spans="1:4" x14ac:dyDescent="0.45">
      <c r="A87" s="29">
        <v>45810</v>
      </c>
      <c r="B87" s="13">
        <v>7290108357288</v>
      </c>
      <c r="C87" t="s">
        <v>22</v>
      </c>
      <c r="D87">
        <v>4</v>
      </c>
    </row>
    <row r="88" spans="1:4" x14ac:dyDescent="0.45">
      <c r="A88" s="29">
        <v>45810</v>
      </c>
      <c r="B88" s="13">
        <v>7290108357844</v>
      </c>
      <c r="C88" t="s">
        <v>22</v>
      </c>
      <c r="D88">
        <v>3</v>
      </c>
    </row>
    <row r="89" spans="1:4" x14ac:dyDescent="0.45">
      <c r="A89" s="29">
        <v>45810</v>
      </c>
      <c r="B89" s="13">
        <v>7290108359077</v>
      </c>
      <c r="C89" t="s">
        <v>22</v>
      </c>
      <c r="D89">
        <v>0</v>
      </c>
    </row>
    <row r="90" spans="1:4" x14ac:dyDescent="0.45">
      <c r="A90" s="29">
        <v>45810</v>
      </c>
      <c r="B90" s="13">
        <v>7290108359176</v>
      </c>
      <c r="C90" t="s">
        <v>22</v>
      </c>
      <c r="D90">
        <v>0</v>
      </c>
    </row>
    <row r="91" spans="1:4" x14ac:dyDescent="0.45">
      <c r="A91" s="29">
        <v>45810</v>
      </c>
      <c r="B91" s="13">
        <v>7290108359190</v>
      </c>
      <c r="C91" t="s">
        <v>22</v>
      </c>
      <c r="D91">
        <v>1</v>
      </c>
    </row>
    <row r="92" spans="1:4" x14ac:dyDescent="0.45">
      <c r="A92" s="29">
        <v>45810</v>
      </c>
      <c r="B92" s="13">
        <v>8001090184375</v>
      </c>
      <c r="C92" t="s">
        <v>22</v>
      </c>
      <c r="D92">
        <v>2</v>
      </c>
    </row>
    <row r="93" spans="1:4" x14ac:dyDescent="0.45">
      <c r="A93" s="29">
        <v>45810</v>
      </c>
      <c r="B93" s="13">
        <v>8001090184412</v>
      </c>
      <c r="C93" t="s">
        <v>22</v>
      </c>
      <c r="D93">
        <v>4</v>
      </c>
    </row>
    <row r="94" spans="1:4" x14ac:dyDescent="0.45">
      <c r="A94" s="29">
        <v>45810</v>
      </c>
      <c r="B94" s="13">
        <v>8001841625362</v>
      </c>
      <c r="C94" t="s">
        <v>22</v>
      </c>
      <c r="D94">
        <v>2</v>
      </c>
    </row>
    <row r="95" spans="1:4" x14ac:dyDescent="0.45">
      <c r="A95" s="29">
        <v>45810</v>
      </c>
      <c r="B95" s="13">
        <v>8001841893990</v>
      </c>
      <c r="C95" t="s">
        <v>22</v>
      </c>
      <c r="D95">
        <v>1</v>
      </c>
    </row>
    <row r="96" spans="1:4" x14ac:dyDescent="0.45">
      <c r="A96" s="29">
        <v>45810</v>
      </c>
      <c r="B96" s="13">
        <v>8006540429327</v>
      </c>
      <c r="C96" t="s">
        <v>22</v>
      </c>
      <c r="D96">
        <v>4</v>
      </c>
    </row>
    <row r="97" spans="1:4" x14ac:dyDescent="0.45">
      <c r="A97" s="29">
        <v>45810</v>
      </c>
      <c r="B97" s="13">
        <v>8700216163811</v>
      </c>
      <c r="C97" t="s">
        <v>22</v>
      </c>
      <c r="D97">
        <v>5</v>
      </c>
    </row>
    <row r="98" spans="1:4" x14ac:dyDescent="0.45">
      <c r="A98" s="29">
        <v>45810</v>
      </c>
      <c r="B98" s="13">
        <v>8700216236034</v>
      </c>
      <c r="C98" t="s">
        <v>22</v>
      </c>
      <c r="D98">
        <v>0</v>
      </c>
    </row>
    <row r="99" spans="1:4" x14ac:dyDescent="0.45">
      <c r="A99" s="29">
        <v>45810</v>
      </c>
      <c r="B99" s="13">
        <v>8700216236751</v>
      </c>
      <c r="C99" t="s">
        <v>22</v>
      </c>
      <c r="D99">
        <v>2</v>
      </c>
    </row>
    <row r="100" spans="1:4" x14ac:dyDescent="0.45">
      <c r="A100" s="29">
        <v>45811</v>
      </c>
      <c r="B100" s="13">
        <v>4084500088917</v>
      </c>
      <c r="C100" t="s">
        <v>22</v>
      </c>
      <c r="D100">
        <v>5</v>
      </c>
    </row>
    <row r="101" spans="1:4" x14ac:dyDescent="0.45">
      <c r="A101" s="29">
        <v>45811</v>
      </c>
      <c r="B101" s="13">
        <v>4084500853836</v>
      </c>
      <c r="C101" t="s">
        <v>22</v>
      </c>
      <c r="D101">
        <v>5</v>
      </c>
    </row>
    <row r="102" spans="1:4" x14ac:dyDescent="0.45">
      <c r="A102" s="29">
        <v>45811</v>
      </c>
      <c r="B102" s="11">
        <v>7290000286921</v>
      </c>
      <c r="C102" t="s">
        <v>22</v>
      </c>
      <c r="D102">
        <v>1</v>
      </c>
    </row>
    <row r="103" spans="1:4" x14ac:dyDescent="0.45">
      <c r="A103" s="29">
        <v>45811</v>
      </c>
      <c r="B103" s="11">
        <v>7290000288024</v>
      </c>
      <c r="C103" t="s">
        <v>22</v>
      </c>
      <c r="D103">
        <v>5</v>
      </c>
    </row>
    <row r="104" spans="1:4" x14ac:dyDescent="0.45">
      <c r="A104" s="29">
        <v>45811</v>
      </c>
      <c r="B104" s="11">
        <v>7290000288307</v>
      </c>
      <c r="C104" t="s">
        <v>22</v>
      </c>
      <c r="D104">
        <v>0</v>
      </c>
    </row>
    <row r="105" spans="1:4" x14ac:dyDescent="0.45">
      <c r="A105" s="29">
        <v>45811</v>
      </c>
      <c r="B105" s="11">
        <v>7290000288659</v>
      </c>
      <c r="C105" t="s">
        <v>22</v>
      </c>
      <c r="D105">
        <v>1</v>
      </c>
    </row>
    <row r="106" spans="1:4" x14ac:dyDescent="0.45">
      <c r="A106" s="29">
        <v>45811</v>
      </c>
      <c r="B106" s="11">
        <v>7290000292915</v>
      </c>
      <c r="C106" t="s">
        <v>22</v>
      </c>
      <c r="D106">
        <v>1</v>
      </c>
    </row>
    <row r="107" spans="1:4" x14ac:dyDescent="0.45">
      <c r="A107" s="29">
        <v>45811</v>
      </c>
      <c r="B107" s="11">
        <v>7290000294780</v>
      </c>
      <c r="C107" t="s">
        <v>22</v>
      </c>
      <c r="D107">
        <v>5</v>
      </c>
    </row>
    <row r="108" spans="1:4" x14ac:dyDescent="0.45">
      <c r="A108" s="29">
        <v>45811</v>
      </c>
      <c r="B108" s="11">
        <v>7290000295367</v>
      </c>
      <c r="C108" t="s">
        <v>22</v>
      </c>
      <c r="D108">
        <v>2</v>
      </c>
    </row>
    <row r="109" spans="1:4" x14ac:dyDescent="0.45">
      <c r="A109" s="29">
        <v>45811</v>
      </c>
      <c r="B109" s="11">
        <v>7290000295541</v>
      </c>
      <c r="C109" t="s">
        <v>22</v>
      </c>
      <c r="D109">
        <v>0</v>
      </c>
    </row>
    <row r="110" spans="1:4" x14ac:dyDescent="0.45">
      <c r="A110" s="29">
        <v>45811</v>
      </c>
      <c r="B110" s="14">
        <v>7290001246610</v>
      </c>
      <c r="C110" t="s">
        <v>22</v>
      </c>
      <c r="D110">
        <v>2</v>
      </c>
    </row>
    <row r="111" spans="1:4" x14ac:dyDescent="0.45">
      <c r="A111" s="29">
        <v>45811</v>
      </c>
      <c r="B111" s="11">
        <v>7290005424700</v>
      </c>
      <c r="C111" t="s">
        <v>22</v>
      </c>
      <c r="D111">
        <v>1</v>
      </c>
    </row>
    <row r="112" spans="1:4" x14ac:dyDescent="0.45">
      <c r="A112" s="29">
        <v>45811</v>
      </c>
      <c r="B112" s="11">
        <v>7290005425110</v>
      </c>
      <c r="C112" t="s">
        <v>22</v>
      </c>
      <c r="D112">
        <v>2</v>
      </c>
    </row>
    <row r="113" spans="1:4" x14ac:dyDescent="0.45">
      <c r="A113" s="29">
        <v>45811</v>
      </c>
      <c r="B113" s="11">
        <v>7290005425196</v>
      </c>
      <c r="C113" t="s">
        <v>22</v>
      </c>
      <c r="D113">
        <v>3</v>
      </c>
    </row>
    <row r="114" spans="1:4" x14ac:dyDescent="0.45">
      <c r="A114" s="29">
        <v>45811</v>
      </c>
      <c r="B114" s="11">
        <v>7290012116025</v>
      </c>
      <c r="C114" t="s">
        <v>22</v>
      </c>
      <c r="D114">
        <v>2</v>
      </c>
    </row>
    <row r="115" spans="1:4" x14ac:dyDescent="0.45">
      <c r="A115" s="29">
        <v>45811</v>
      </c>
      <c r="B115" s="11">
        <v>7290012117534</v>
      </c>
      <c r="C115" t="s">
        <v>22</v>
      </c>
      <c r="D115">
        <v>3</v>
      </c>
    </row>
    <row r="116" spans="1:4" x14ac:dyDescent="0.45">
      <c r="A116" s="29">
        <v>45811</v>
      </c>
      <c r="B116" s="11">
        <v>7290013268204</v>
      </c>
      <c r="C116" t="s">
        <v>22</v>
      </c>
      <c r="D116">
        <v>1</v>
      </c>
    </row>
    <row r="117" spans="1:4" x14ac:dyDescent="0.45">
      <c r="A117" s="29">
        <v>45811</v>
      </c>
      <c r="B117" s="11">
        <v>7290013268891</v>
      </c>
      <c r="C117" t="s">
        <v>22</v>
      </c>
      <c r="D117">
        <v>2</v>
      </c>
    </row>
    <row r="118" spans="1:4" x14ac:dyDescent="0.45">
      <c r="A118" s="29">
        <v>45811</v>
      </c>
      <c r="B118" s="11">
        <v>7290013269003</v>
      </c>
      <c r="C118" t="s">
        <v>22</v>
      </c>
      <c r="D118">
        <v>2</v>
      </c>
    </row>
    <row r="119" spans="1:4" x14ac:dyDescent="0.45">
      <c r="A119" s="29">
        <v>45811</v>
      </c>
      <c r="B119" s="11">
        <v>7290014397453</v>
      </c>
      <c r="C119" t="s">
        <v>22</v>
      </c>
      <c r="D119">
        <v>2</v>
      </c>
    </row>
    <row r="120" spans="1:4" x14ac:dyDescent="0.45">
      <c r="A120" s="29">
        <v>45811</v>
      </c>
      <c r="B120" s="14">
        <v>7290019274483</v>
      </c>
      <c r="C120" t="s">
        <v>22</v>
      </c>
      <c r="D120">
        <v>3</v>
      </c>
    </row>
    <row r="121" spans="1:4" x14ac:dyDescent="0.45">
      <c r="A121" s="29">
        <v>45811</v>
      </c>
      <c r="B121" s="14">
        <v>7290019274490</v>
      </c>
      <c r="C121" t="s">
        <v>22</v>
      </c>
      <c r="D121">
        <v>2</v>
      </c>
    </row>
    <row r="122" spans="1:4" x14ac:dyDescent="0.45">
      <c r="A122" s="29">
        <v>45811</v>
      </c>
      <c r="B122" s="14">
        <v>7290019611325</v>
      </c>
      <c r="C122" t="s">
        <v>22</v>
      </c>
      <c r="D122">
        <v>2</v>
      </c>
    </row>
    <row r="123" spans="1:4" x14ac:dyDescent="0.45">
      <c r="A123" s="29">
        <v>45811</v>
      </c>
      <c r="B123" s="14">
        <v>7290103702489</v>
      </c>
      <c r="C123" t="s">
        <v>22</v>
      </c>
      <c r="D123">
        <v>5</v>
      </c>
    </row>
    <row r="124" spans="1:4" x14ac:dyDescent="0.45">
      <c r="A124" s="29">
        <v>45811</v>
      </c>
      <c r="B124" s="14">
        <v>7290103703370</v>
      </c>
      <c r="C124" t="s">
        <v>22</v>
      </c>
      <c r="D124">
        <v>4</v>
      </c>
    </row>
    <row r="125" spans="1:4" x14ac:dyDescent="0.45">
      <c r="A125" s="29">
        <v>45811</v>
      </c>
      <c r="B125" s="14">
        <v>7290103704155</v>
      </c>
      <c r="C125" t="s">
        <v>22</v>
      </c>
      <c r="D125">
        <v>4</v>
      </c>
    </row>
    <row r="126" spans="1:4" x14ac:dyDescent="0.45">
      <c r="A126" s="29">
        <v>45811</v>
      </c>
      <c r="B126" s="14">
        <v>7290103704179</v>
      </c>
      <c r="C126" t="s">
        <v>22</v>
      </c>
      <c r="D126">
        <v>4</v>
      </c>
    </row>
    <row r="127" spans="1:4" x14ac:dyDescent="0.45">
      <c r="A127" s="29">
        <v>45811</v>
      </c>
      <c r="B127" s="14">
        <v>7290103704919</v>
      </c>
      <c r="C127" t="s">
        <v>22</v>
      </c>
      <c r="D127">
        <v>5</v>
      </c>
    </row>
    <row r="128" spans="1:4" x14ac:dyDescent="0.45">
      <c r="A128" s="29">
        <v>45811</v>
      </c>
      <c r="B128" s="11">
        <v>7290107280099</v>
      </c>
      <c r="C128" t="s">
        <v>22</v>
      </c>
      <c r="D128">
        <v>0</v>
      </c>
    </row>
    <row r="129" spans="1:4" x14ac:dyDescent="0.45">
      <c r="A129" s="29">
        <v>45811</v>
      </c>
      <c r="B129" s="11">
        <v>7290108351699</v>
      </c>
      <c r="C129" t="s">
        <v>22</v>
      </c>
      <c r="D129">
        <v>3</v>
      </c>
    </row>
    <row r="130" spans="1:4" x14ac:dyDescent="0.45">
      <c r="A130" s="29">
        <v>45811</v>
      </c>
      <c r="B130" s="11">
        <v>7290108352702</v>
      </c>
      <c r="C130" t="s">
        <v>22</v>
      </c>
      <c r="D130">
        <v>1</v>
      </c>
    </row>
    <row r="131" spans="1:4" x14ac:dyDescent="0.45">
      <c r="A131" s="29">
        <v>45811</v>
      </c>
      <c r="B131" s="11">
        <v>7290108356298</v>
      </c>
      <c r="C131" t="s">
        <v>22</v>
      </c>
      <c r="D131">
        <v>1</v>
      </c>
    </row>
    <row r="132" spans="1:4" x14ac:dyDescent="0.45">
      <c r="A132" s="29">
        <v>45811</v>
      </c>
      <c r="B132" s="15">
        <v>7290108356700</v>
      </c>
      <c r="C132" t="s">
        <v>22</v>
      </c>
      <c r="D132">
        <v>1</v>
      </c>
    </row>
    <row r="133" spans="1:4" x14ac:dyDescent="0.45">
      <c r="A133" s="29">
        <v>45811</v>
      </c>
      <c r="B133" s="11">
        <v>7290108356717</v>
      </c>
      <c r="C133" t="s">
        <v>22</v>
      </c>
      <c r="D133">
        <v>3</v>
      </c>
    </row>
    <row r="134" spans="1:4" x14ac:dyDescent="0.45">
      <c r="A134" s="29">
        <v>45811</v>
      </c>
      <c r="B134" s="10">
        <v>7290108356724</v>
      </c>
      <c r="C134" t="s">
        <v>22</v>
      </c>
      <c r="D134">
        <v>1</v>
      </c>
    </row>
    <row r="135" spans="1:4" x14ac:dyDescent="0.45">
      <c r="A135" s="29">
        <v>45811</v>
      </c>
      <c r="B135" s="11">
        <v>7290108357240</v>
      </c>
      <c r="C135" t="s">
        <v>22</v>
      </c>
      <c r="D135">
        <v>3</v>
      </c>
    </row>
    <row r="136" spans="1:4" x14ac:dyDescent="0.45">
      <c r="A136" s="29">
        <v>45811</v>
      </c>
      <c r="B136" s="11">
        <v>7290108357288</v>
      </c>
      <c r="C136" t="s">
        <v>22</v>
      </c>
      <c r="D136">
        <v>5</v>
      </c>
    </row>
    <row r="137" spans="1:4" x14ac:dyDescent="0.45">
      <c r="A137" s="29">
        <v>45811</v>
      </c>
      <c r="B137" s="11">
        <v>7290108357844</v>
      </c>
      <c r="C137" t="s">
        <v>22</v>
      </c>
      <c r="D137">
        <v>3</v>
      </c>
    </row>
    <row r="138" spans="1:4" x14ac:dyDescent="0.45">
      <c r="A138" s="29">
        <v>45811</v>
      </c>
      <c r="B138" s="15">
        <v>7290108359077</v>
      </c>
      <c r="C138" t="s">
        <v>22</v>
      </c>
      <c r="D138">
        <v>0</v>
      </c>
    </row>
    <row r="139" spans="1:4" x14ac:dyDescent="0.45">
      <c r="A139" s="29">
        <v>45811</v>
      </c>
      <c r="B139" s="11">
        <v>7290108359176</v>
      </c>
      <c r="C139" t="s">
        <v>22</v>
      </c>
      <c r="D139">
        <v>0</v>
      </c>
    </row>
    <row r="140" spans="1:4" x14ac:dyDescent="0.45">
      <c r="A140" s="29">
        <v>45811</v>
      </c>
      <c r="B140" s="15">
        <v>7290108359190</v>
      </c>
      <c r="C140" t="s">
        <v>22</v>
      </c>
      <c r="D140">
        <v>0</v>
      </c>
    </row>
    <row r="141" spans="1:4" x14ac:dyDescent="0.45">
      <c r="A141" s="29">
        <v>45811</v>
      </c>
      <c r="B141" s="13">
        <v>8001090184375</v>
      </c>
      <c r="C141" t="s">
        <v>22</v>
      </c>
      <c r="D141">
        <v>2</v>
      </c>
    </row>
    <row r="142" spans="1:4" x14ac:dyDescent="0.45">
      <c r="A142" s="29">
        <v>45811</v>
      </c>
      <c r="B142" s="13">
        <v>8001090184412</v>
      </c>
      <c r="C142" t="s">
        <v>22</v>
      </c>
      <c r="D142">
        <v>4</v>
      </c>
    </row>
    <row r="143" spans="1:4" x14ac:dyDescent="0.45">
      <c r="A143" s="29">
        <v>45811</v>
      </c>
      <c r="B143" s="13">
        <v>8001841625362</v>
      </c>
      <c r="C143" t="s">
        <v>22</v>
      </c>
      <c r="D143">
        <v>3</v>
      </c>
    </row>
    <row r="144" spans="1:4" x14ac:dyDescent="0.45">
      <c r="A144" s="29">
        <v>45811</v>
      </c>
      <c r="B144" s="13">
        <v>8001841893990</v>
      </c>
      <c r="C144" t="s">
        <v>22</v>
      </c>
      <c r="D144">
        <v>1</v>
      </c>
    </row>
    <row r="145" spans="1:4" x14ac:dyDescent="0.45">
      <c r="A145" s="29">
        <v>45811</v>
      </c>
      <c r="B145" s="13">
        <v>8006540429327</v>
      </c>
      <c r="C145" t="s">
        <v>22</v>
      </c>
      <c r="D145">
        <v>5</v>
      </c>
    </row>
    <row r="146" spans="1:4" x14ac:dyDescent="0.45">
      <c r="A146" s="29">
        <v>45811</v>
      </c>
      <c r="B146" s="13">
        <v>8700216163811</v>
      </c>
      <c r="C146" t="s">
        <v>22</v>
      </c>
      <c r="D146">
        <v>4</v>
      </c>
    </row>
    <row r="147" spans="1:4" x14ac:dyDescent="0.45">
      <c r="A147" s="29">
        <v>45811</v>
      </c>
      <c r="B147" s="13">
        <v>8700216236034</v>
      </c>
      <c r="C147" t="s">
        <v>22</v>
      </c>
      <c r="D147">
        <v>2</v>
      </c>
    </row>
    <row r="148" spans="1:4" x14ac:dyDescent="0.45">
      <c r="A148" s="29">
        <v>45811</v>
      </c>
      <c r="B148" s="13">
        <v>8700216236751</v>
      </c>
      <c r="C148" t="s">
        <v>22</v>
      </c>
      <c r="D148">
        <v>2</v>
      </c>
    </row>
    <row r="149" spans="1:4" x14ac:dyDescent="0.45">
      <c r="A149" s="29">
        <v>45812</v>
      </c>
      <c r="B149" s="13">
        <v>4084500088917</v>
      </c>
      <c r="C149" t="s">
        <v>22</v>
      </c>
      <c r="D149">
        <v>5</v>
      </c>
    </row>
    <row r="150" spans="1:4" x14ac:dyDescent="0.45">
      <c r="A150" s="29">
        <v>45812</v>
      </c>
      <c r="B150" s="13">
        <v>4084500853836</v>
      </c>
      <c r="C150" t="s">
        <v>22</v>
      </c>
      <c r="D150">
        <v>5</v>
      </c>
    </row>
    <row r="151" spans="1:4" x14ac:dyDescent="0.45">
      <c r="A151" s="29">
        <v>45812</v>
      </c>
      <c r="B151" s="11">
        <v>7290000286921</v>
      </c>
      <c r="C151" t="s">
        <v>22</v>
      </c>
      <c r="D151">
        <v>1</v>
      </c>
    </row>
    <row r="152" spans="1:4" x14ac:dyDescent="0.45">
      <c r="A152" s="29">
        <v>45812</v>
      </c>
      <c r="B152" s="11">
        <v>7290000288024</v>
      </c>
      <c r="C152" t="s">
        <v>22</v>
      </c>
      <c r="D152">
        <v>5</v>
      </c>
    </row>
    <row r="153" spans="1:4" x14ac:dyDescent="0.45">
      <c r="A153" s="29">
        <v>45812</v>
      </c>
      <c r="B153" s="11">
        <v>7290000288307</v>
      </c>
      <c r="C153" t="s">
        <v>22</v>
      </c>
      <c r="D153">
        <v>0</v>
      </c>
    </row>
    <row r="154" spans="1:4" x14ac:dyDescent="0.45">
      <c r="A154" s="29">
        <v>45812</v>
      </c>
      <c r="B154" s="11">
        <v>7290000288659</v>
      </c>
      <c r="C154" t="s">
        <v>22</v>
      </c>
      <c r="D154">
        <v>0</v>
      </c>
    </row>
    <row r="155" spans="1:4" x14ac:dyDescent="0.45">
      <c r="A155" s="29">
        <v>45812</v>
      </c>
      <c r="B155" s="11">
        <v>7290000292915</v>
      </c>
      <c r="C155" t="s">
        <v>22</v>
      </c>
      <c r="D155">
        <v>3</v>
      </c>
    </row>
    <row r="156" spans="1:4" x14ac:dyDescent="0.45">
      <c r="A156" s="29">
        <v>45812</v>
      </c>
      <c r="B156" s="11">
        <v>7290000294780</v>
      </c>
      <c r="C156" t="s">
        <v>22</v>
      </c>
      <c r="D156">
        <v>5</v>
      </c>
    </row>
    <row r="157" spans="1:4" x14ac:dyDescent="0.45">
      <c r="A157" s="29">
        <v>45812</v>
      </c>
      <c r="B157" s="11">
        <v>7290000295367</v>
      </c>
      <c r="C157" t="s">
        <v>22</v>
      </c>
      <c r="D157">
        <v>2</v>
      </c>
    </row>
    <row r="158" spans="1:4" x14ac:dyDescent="0.45">
      <c r="A158" s="29">
        <v>45812</v>
      </c>
      <c r="B158" s="11">
        <v>7290000295541</v>
      </c>
      <c r="C158" t="s">
        <v>22</v>
      </c>
      <c r="D158">
        <v>0</v>
      </c>
    </row>
    <row r="159" spans="1:4" x14ac:dyDescent="0.45">
      <c r="A159" s="29">
        <v>45812</v>
      </c>
      <c r="B159" s="14">
        <v>7290001246610</v>
      </c>
      <c r="C159" t="s">
        <v>22</v>
      </c>
      <c r="D159">
        <v>2</v>
      </c>
    </row>
    <row r="160" spans="1:4" x14ac:dyDescent="0.45">
      <c r="A160" s="29">
        <v>45812</v>
      </c>
      <c r="B160" s="11">
        <v>7290005424700</v>
      </c>
      <c r="C160" t="s">
        <v>22</v>
      </c>
      <c r="D160">
        <v>3</v>
      </c>
    </row>
    <row r="161" spans="1:4" x14ac:dyDescent="0.45">
      <c r="A161" s="29">
        <v>45812</v>
      </c>
      <c r="B161" s="11">
        <v>7290005425110</v>
      </c>
      <c r="C161" t="s">
        <v>22</v>
      </c>
      <c r="D161">
        <v>2</v>
      </c>
    </row>
    <row r="162" spans="1:4" x14ac:dyDescent="0.45">
      <c r="A162" s="29">
        <v>45812</v>
      </c>
      <c r="B162" s="11">
        <v>7290005425196</v>
      </c>
      <c r="C162" t="s">
        <v>22</v>
      </c>
      <c r="D162">
        <v>2</v>
      </c>
    </row>
    <row r="163" spans="1:4" x14ac:dyDescent="0.45">
      <c r="A163" s="29">
        <v>45812</v>
      </c>
      <c r="B163" s="11">
        <v>7290012116025</v>
      </c>
      <c r="C163" t="s">
        <v>22</v>
      </c>
      <c r="D163">
        <v>1</v>
      </c>
    </row>
    <row r="164" spans="1:4" x14ac:dyDescent="0.45">
      <c r="A164" s="29">
        <v>45812</v>
      </c>
      <c r="B164" s="11">
        <v>7290012117534</v>
      </c>
      <c r="C164" t="s">
        <v>22</v>
      </c>
      <c r="D164">
        <v>2</v>
      </c>
    </row>
    <row r="165" spans="1:4" x14ac:dyDescent="0.45">
      <c r="A165" s="29">
        <v>45812</v>
      </c>
      <c r="B165" s="11">
        <v>7290013268204</v>
      </c>
      <c r="C165" t="s">
        <v>22</v>
      </c>
      <c r="D165">
        <v>1</v>
      </c>
    </row>
    <row r="166" spans="1:4" x14ac:dyDescent="0.45">
      <c r="A166" s="29">
        <v>45812</v>
      </c>
      <c r="B166" s="11">
        <v>7290013268891</v>
      </c>
      <c r="C166" t="s">
        <v>22</v>
      </c>
      <c r="D166">
        <v>1</v>
      </c>
    </row>
    <row r="167" spans="1:4" x14ac:dyDescent="0.45">
      <c r="A167" s="29">
        <v>45812</v>
      </c>
      <c r="B167" s="11">
        <v>7290013269003</v>
      </c>
      <c r="C167" t="s">
        <v>22</v>
      </c>
      <c r="D167">
        <v>1</v>
      </c>
    </row>
    <row r="168" spans="1:4" x14ac:dyDescent="0.45">
      <c r="A168" s="29">
        <v>45812</v>
      </c>
      <c r="B168" s="11">
        <v>7290014397453</v>
      </c>
      <c r="C168" t="s">
        <v>22</v>
      </c>
      <c r="D168">
        <v>2</v>
      </c>
    </row>
    <row r="169" spans="1:4" x14ac:dyDescent="0.45">
      <c r="A169" s="29">
        <v>45812</v>
      </c>
      <c r="B169" s="14">
        <v>7290019274483</v>
      </c>
      <c r="C169" t="s">
        <v>22</v>
      </c>
      <c r="D169">
        <v>1</v>
      </c>
    </row>
    <row r="170" spans="1:4" x14ac:dyDescent="0.45">
      <c r="A170" s="29">
        <v>45812</v>
      </c>
      <c r="B170" s="14">
        <v>7290019274490</v>
      </c>
      <c r="C170" t="s">
        <v>22</v>
      </c>
      <c r="D170">
        <v>2</v>
      </c>
    </row>
    <row r="171" spans="1:4" x14ac:dyDescent="0.45">
      <c r="A171" s="29">
        <v>45812</v>
      </c>
      <c r="B171" s="14">
        <v>7290019611325</v>
      </c>
      <c r="C171" t="s">
        <v>22</v>
      </c>
      <c r="D171">
        <v>1</v>
      </c>
    </row>
    <row r="172" spans="1:4" x14ac:dyDescent="0.45">
      <c r="A172" s="29">
        <v>45812</v>
      </c>
      <c r="B172" s="14">
        <v>7290103702489</v>
      </c>
      <c r="C172" t="s">
        <v>22</v>
      </c>
      <c r="D172">
        <v>4</v>
      </c>
    </row>
    <row r="173" spans="1:4" x14ac:dyDescent="0.45">
      <c r="A173" s="29">
        <v>45812</v>
      </c>
      <c r="B173" s="14">
        <v>7290103703370</v>
      </c>
      <c r="C173" t="s">
        <v>22</v>
      </c>
      <c r="D173">
        <v>5</v>
      </c>
    </row>
    <row r="174" spans="1:4" x14ac:dyDescent="0.45">
      <c r="A174" s="29">
        <v>45812</v>
      </c>
      <c r="B174" s="14">
        <v>7290103704155</v>
      </c>
      <c r="C174" t="s">
        <v>22</v>
      </c>
      <c r="D174">
        <v>5</v>
      </c>
    </row>
    <row r="175" spans="1:4" x14ac:dyDescent="0.45">
      <c r="A175" s="29">
        <v>45812</v>
      </c>
      <c r="B175" s="14">
        <v>7290103704179</v>
      </c>
      <c r="C175" t="s">
        <v>22</v>
      </c>
      <c r="D175">
        <v>5</v>
      </c>
    </row>
    <row r="176" spans="1:4" x14ac:dyDescent="0.45">
      <c r="A176" s="29">
        <v>45812</v>
      </c>
      <c r="B176" s="14">
        <v>7290103704919</v>
      </c>
      <c r="C176" t="s">
        <v>22</v>
      </c>
      <c r="D176">
        <v>5</v>
      </c>
    </row>
    <row r="177" spans="1:4" x14ac:dyDescent="0.45">
      <c r="A177" s="29">
        <v>45812</v>
      </c>
      <c r="B177" s="11">
        <v>7290107280099</v>
      </c>
      <c r="C177" t="s">
        <v>22</v>
      </c>
      <c r="D177">
        <v>0</v>
      </c>
    </row>
    <row r="178" spans="1:4" x14ac:dyDescent="0.45">
      <c r="A178" s="29">
        <v>45812</v>
      </c>
      <c r="B178" s="11">
        <v>7290108351699</v>
      </c>
      <c r="C178" t="s">
        <v>22</v>
      </c>
      <c r="D178">
        <v>2</v>
      </c>
    </row>
    <row r="179" spans="1:4" x14ac:dyDescent="0.45">
      <c r="A179" s="29">
        <v>45812</v>
      </c>
      <c r="B179" s="11">
        <v>7290108352702</v>
      </c>
      <c r="C179" t="s">
        <v>22</v>
      </c>
      <c r="D179">
        <v>1</v>
      </c>
    </row>
    <row r="180" spans="1:4" x14ac:dyDescent="0.45">
      <c r="A180" s="29">
        <v>45812</v>
      </c>
      <c r="B180" s="11">
        <v>7290108356298</v>
      </c>
      <c r="C180" t="s">
        <v>22</v>
      </c>
      <c r="D180">
        <v>2</v>
      </c>
    </row>
    <row r="181" spans="1:4" x14ac:dyDescent="0.45">
      <c r="A181" s="29">
        <v>45812</v>
      </c>
      <c r="B181" s="15">
        <v>7290108356700</v>
      </c>
      <c r="C181" t="s">
        <v>22</v>
      </c>
      <c r="D181">
        <v>1</v>
      </c>
    </row>
    <row r="182" spans="1:4" x14ac:dyDescent="0.45">
      <c r="A182" s="29">
        <v>45812</v>
      </c>
      <c r="B182" s="11">
        <v>7290108356717</v>
      </c>
      <c r="C182" t="s">
        <v>22</v>
      </c>
      <c r="D182">
        <v>2</v>
      </c>
    </row>
    <row r="183" spans="1:4" x14ac:dyDescent="0.45">
      <c r="A183" s="29">
        <v>45812</v>
      </c>
      <c r="B183" s="10">
        <v>7290108356724</v>
      </c>
      <c r="C183" t="s">
        <v>22</v>
      </c>
      <c r="D183">
        <v>3</v>
      </c>
    </row>
    <row r="184" spans="1:4" x14ac:dyDescent="0.45">
      <c r="A184" s="29">
        <v>45812</v>
      </c>
      <c r="B184" s="11">
        <v>7290108357240</v>
      </c>
      <c r="C184" t="s">
        <v>22</v>
      </c>
      <c r="D184">
        <v>1</v>
      </c>
    </row>
    <row r="185" spans="1:4" x14ac:dyDescent="0.45">
      <c r="A185" s="29">
        <v>45812</v>
      </c>
      <c r="B185" s="11">
        <v>7290108357288</v>
      </c>
      <c r="C185" t="s">
        <v>22</v>
      </c>
      <c r="D185">
        <v>4</v>
      </c>
    </row>
    <row r="186" spans="1:4" x14ac:dyDescent="0.45">
      <c r="A186" s="29">
        <v>45812</v>
      </c>
      <c r="B186" s="11">
        <v>7290108357844</v>
      </c>
      <c r="C186" t="s">
        <v>22</v>
      </c>
      <c r="D186">
        <v>1</v>
      </c>
    </row>
    <row r="187" spans="1:4" x14ac:dyDescent="0.45">
      <c r="A187" s="29">
        <v>45812</v>
      </c>
      <c r="B187" s="15">
        <v>7290108359077</v>
      </c>
      <c r="C187" t="s">
        <v>22</v>
      </c>
      <c r="D187">
        <v>0</v>
      </c>
    </row>
    <row r="188" spans="1:4" x14ac:dyDescent="0.45">
      <c r="A188" s="29">
        <v>45812</v>
      </c>
      <c r="B188" s="11">
        <v>7290108359176</v>
      </c>
      <c r="C188" t="s">
        <v>22</v>
      </c>
      <c r="D188">
        <v>0</v>
      </c>
    </row>
    <row r="189" spans="1:4" x14ac:dyDescent="0.45">
      <c r="A189" s="29">
        <v>45812</v>
      </c>
      <c r="B189" s="15">
        <v>7290108359190</v>
      </c>
      <c r="C189" t="s">
        <v>22</v>
      </c>
      <c r="D189">
        <v>0</v>
      </c>
    </row>
    <row r="190" spans="1:4" x14ac:dyDescent="0.45">
      <c r="A190" s="29">
        <v>45812</v>
      </c>
      <c r="B190" s="13">
        <v>8001090184375</v>
      </c>
      <c r="C190" t="s">
        <v>22</v>
      </c>
      <c r="D190">
        <v>2</v>
      </c>
    </row>
    <row r="191" spans="1:4" x14ac:dyDescent="0.45">
      <c r="A191" s="29">
        <v>45812</v>
      </c>
      <c r="B191" s="13">
        <v>8001090184412</v>
      </c>
      <c r="C191" t="s">
        <v>22</v>
      </c>
      <c r="D191">
        <v>5</v>
      </c>
    </row>
    <row r="192" spans="1:4" x14ac:dyDescent="0.45">
      <c r="A192" s="29">
        <v>45812</v>
      </c>
      <c r="B192" s="13">
        <v>8001841625362</v>
      </c>
      <c r="C192" t="s">
        <v>22</v>
      </c>
      <c r="D192">
        <v>2</v>
      </c>
    </row>
    <row r="193" spans="1:4" x14ac:dyDescent="0.45">
      <c r="A193" s="29">
        <v>45812</v>
      </c>
      <c r="B193" s="13">
        <v>8001841893990</v>
      </c>
      <c r="C193" t="s">
        <v>22</v>
      </c>
      <c r="D193">
        <v>0</v>
      </c>
    </row>
    <row r="194" spans="1:4" x14ac:dyDescent="0.45">
      <c r="A194" s="29">
        <v>45812</v>
      </c>
      <c r="B194" s="13">
        <v>8006540429327</v>
      </c>
      <c r="C194" t="s">
        <v>22</v>
      </c>
      <c r="D194">
        <v>4</v>
      </c>
    </row>
    <row r="195" spans="1:4" x14ac:dyDescent="0.45">
      <c r="A195" s="29">
        <v>45812</v>
      </c>
      <c r="B195" s="13">
        <v>8700216163811</v>
      </c>
      <c r="C195" t="s">
        <v>22</v>
      </c>
      <c r="D195">
        <v>4</v>
      </c>
    </row>
    <row r="196" spans="1:4" x14ac:dyDescent="0.45">
      <c r="A196" s="29">
        <v>45812</v>
      </c>
      <c r="B196" s="13">
        <v>8700216236034</v>
      </c>
      <c r="C196" t="s">
        <v>22</v>
      </c>
      <c r="D196">
        <v>1</v>
      </c>
    </row>
    <row r="197" spans="1:4" x14ac:dyDescent="0.45">
      <c r="A197" s="29">
        <v>45812</v>
      </c>
      <c r="B197" s="13">
        <v>8700216236751</v>
      </c>
      <c r="C197" t="s">
        <v>22</v>
      </c>
      <c r="D197">
        <v>1</v>
      </c>
    </row>
    <row r="198" spans="1:4" x14ac:dyDescent="0.45">
      <c r="A198" s="29">
        <v>45813</v>
      </c>
      <c r="B198" s="13">
        <v>4084500088917</v>
      </c>
      <c r="C198" t="s">
        <v>22</v>
      </c>
      <c r="D198">
        <v>4</v>
      </c>
    </row>
    <row r="199" spans="1:4" x14ac:dyDescent="0.45">
      <c r="A199" s="29">
        <v>45813</v>
      </c>
      <c r="B199" s="13">
        <v>4084500853836</v>
      </c>
      <c r="C199" t="s">
        <v>22</v>
      </c>
      <c r="D199">
        <v>5</v>
      </c>
    </row>
    <row r="200" spans="1:4" x14ac:dyDescent="0.45">
      <c r="A200" s="29">
        <v>45813</v>
      </c>
      <c r="B200" s="13">
        <v>7290000286921</v>
      </c>
      <c r="C200" t="s">
        <v>22</v>
      </c>
      <c r="D200">
        <v>0</v>
      </c>
    </row>
    <row r="201" spans="1:4" x14ac:dyDescent="0.45">
      <c r="A201" s="29">
        <v>45813</v>
      </c>
      <c r="B201" s="13">
        <v>7290000288024</v>
      </c>
      <c r="C201" t="s">
        <v>22</v>
      </c>
      <c r="D201">
        <v>5</v>
      </c>
    </row>
    <row r="202" spans="1:4" x14ac:dyDescent="0.45">
      <c r="A202" s="29">
        <v>45813</v>
      </c>
      <c r="B202" s="13">
        <v>7290000288307</v>
      </c>
      <c r="C202" t="s">
        <v>22</v>
      </c>
      <c r="D202">
        <v>0</v>
      </c>
    </row>
    <row r="203" spans="1:4" x14ac:dyDescent="0.45">
      <c r="A203" s="29">
        <v>45813</v>
      </c>
      <c r="B203" s="13">
        <v>7290000288659</v>
      </c>
      <c r="C203" t="s">
        <v>22</v>
      </c>
      <c r="D203">
        <v>1</v>
      </c>
    </row>
    <row r="204" spans="1:4" x14ac:dyDescent="0.45">
      <c r="A204" s="29">
        <v>45813</v>
      </c>
      <c r="B204" s="13">
        <v>7290000292915</v>
      </c>
      <c r="C204" t="s">
        <v>22</v>
      </c>
      <c r="D204">
        <v>3</v>
      </c>
    </row>
    <row r="205" spans="1:4" x14ac:dyDescent="0.45">
      <c r="A205" s="29">
        <v>45813</v>
      </c>
      <c r="B205" s="13">
        <v>7290000294780</v>
      </c>
      <c r="C205" t="s">
        <v>22</v>
      </c>
      <c r="D205">
        <v>4</v>
      </c>
    </row>
    <row r="206" spans="1:4" x14ac:dyDescent="0.45">
      <c r="A206" s="29">
        <v>45813</v>
      </c>
      <c r="B206" s="13">
        <v>7290000295367</v>
      </c>
      <c r="C206" t="s">
        <v>22</v>
      </c>
      <c r="D206">
        <v>1</v>
      </c>
    </row>
    <row r="207" spans="1:4" x14ac:dyDescent="0.45">
      <c r="A207" s="29">
        <v>45813</v>
      </c>
      <c r="B207" s="13">
        <v>7290000295541</v>
      </c>
      <c r="C207" t="s">
        <v>22</v>
      </c>
      <c r="D207">
        <v>1</v>
      </c>
    </row>
    <row r="208" spans="1:4" x14ac:dyDescent="0.45">
      <c r="A208" s="29">
        <v>45813</v>
      </c>
      <c r="B208" s="13">
        <v>7290001246610</v>
      </c>
      <c r="C208" t="s">
        <v>22</v>
      </c>
      <c r="D208">
        <v>2</v>
      </c>
    </row>
    <row r="209" spans="1:4" x14ac:dyDescent="0.45">
      <c r="A209" s="29">
        <v>45813</v>
      </c>
      <c r="B209" s="13">
        <v>7290005424700</v>
      </c>
      <c r="C209" t="s">
        <v>22</v>
      </c>
      <c r="D209">
        <v>3</v>
      </c>
    </row>
    <row r="210" spans="1:4" x14ac:dyDescent="0.45">
      <c r="A210" s="29">
        <v>45813</v>
      </c>
      <c r="B210" s="13">
        <v>7290005425110</v>
      </c>
      <c r="C210" t="s">
        <v>22</v>
      </c>
      <c r="D210">
        <v>1</v>
      </c>
    </row>
    <row r="211" spans="1:4" x14ac:dyDescent="0.45">
      <c r="A211" s="29">
        <v>45813</v>
      </c>
      <c r="B211" s="13">
        <v>7290005425196</v>
      </c>
      <c r="C211" t="s">
        <v>22</v>
      </c>
      <c r="D211">
        <v>2</v>
      </c>
    </row>
    <row r="212" spans="1:4" x14ac:dyDescent="0.45">
      <c r="A212" s="29">
        <v>45813</v>
      </c>
      <c r="B212" s="13">
        <v>7290012116025</v>
      </c>
      <c r="C212" t="s">
        <v>22</v>
      </c>
      <c r="D212">
        <v>3</v>
      </c>
    </row>
    <row r="213" spans="1:4" x14ac:dyDescent="0.45">
      <c r="A213" s="29">
        <v>45813</v>
      </c>
      <c r="B213" s="13">
        <v>7290012117534</v>
      </c>
      <c r="C213" t="s">
        <v>22</v>
      </c>
      <c r="D213">
        <v>1</v>
      </c>
    </row>
    <row r="214" spans="1:4" x14ac:dyDescent="0.45">
      <c r="A214" s="29">
        <v>45813</v>
      </c>
      <c r="B214" s="13">
        <v>7290013268204</v>
      </c>
      <c r="C214" t="s">
        <v>22</v>
      </c>
      <c r="D214">
        <v>1</v>
      </c>
    </row>
    <row r="215" spans="1:4" x14ac:dyDescent="0.45">
      <c r="A215" s="29">
        <v>45813</v>
      </c>
      <c r="B215" s="13">
        <v>7290013268891</v>
      </c>
      <c r="C215" t="s">
        <v>22</v>
      </c>
      <c r="D215">
        <v>1</v>
      </c>
    </row>
    <row r="216" spans="1:4" x14ac:dyDescent="0.45">
      <c r="A216" s="29">
        <v>45813</v>
      </c>
      <c r="B216" s="13">
        <v>7290013269003</v>
      </c>
      <c r="C216" t="s">
        <v>22</v>
      </c>
      <c r="D216">
        <v>2</v>
      </c>
    </row>
    <row r="217" spans="1:4" x14ac:dyDescent="0.45">
      <c r="A217" s="29">
        <v>45813</v>
      </c>
      <c r="B217" s="13">
        <v>7290014397453</v>
      </c>
      <c r="C217" t="s">
        <v>22</v>
      </c>
      <c r="D217">
        <v>1</v>
      </c>
    </row>
    <row r="218" spans="1:4" x14ac:dyDescent="0.45">
      <c r="A218" s="29">
        <v>45813</v>
      </c>
      <c r="B218" s="13">
        <v>7290019274483</v>
      </c>
      <c r="C218" t="s">
        <v>22</v>
      </c>
      <c r="D218">
        <v>2</v>
      </c>
    </row>
    <row r="219" spans="1:4" x14ac:dyDescent="0.45">
      <c r="A219" s="29">
        <v>45813</v>
      </c>
      <c r="B219" s="13">
        <v>7290019274490</v>
      </c>
      <c r="C219" t="s">
        <v>22</v>
      </c>
      <c r="D219">
        <v>1</v>
      </c>
    </row>
    <row r="220" spans="1:4" x14ac:dyDescent="0.45">
      <c r="A220" s="29">
        <v>45813</v>
      </c>
      <c r="B220" s="13">
        <v>7290019611325</v>
      </c>
      <c r="C220" t="s">
        <v>22</v>
      </c>
      <c r="D220">
        <v>2</v>
      </c>
    </row>
    <row r="221" spans="1:4" x14ac:dyDescent="0.45">
      <c r="A221" s="29">
        <v>45813</v>
      </c>
      <c r="B221" s="13">
        <v>7290103702489</v>
      </c>
      <c r="C221" t="s">
        <v>22</v>
      </c>
      <c r="D221">
        <v>5</v>
      </c>
    </row>
    <row r="222" spans="1:4" x14ac:dyDescent="0.45">
      <c r="A222" s="29">
        <v>45813</v>
      </c>
      <c r="B222" s="13">
        <v>7290103703370</v>
      </c>
      <c r="C222" t="s">
        <v>22</v>
      </c>
      <c r="D222">
        <v>5</v>
      </c>
    </row>
    <row r="223" spans="1:4" x14ac:dyDescent="0.45">
      <c r="A223" s="29">
        <v>45813</v>
      </c>
      <c r="B223" s="13">
        <v>7290103704155</v>
      </c>
      <c r="C223" t="s">
        <v>22</v>
      </c>
      <c r="D223">
        <v>5</v>
      </c>
    </row>
    <row r="224" spans="1:4" x14ac:dyDescent="0.45">
      <c r="A224" s="29">
        <v>45813</v>
      </c>
      <c r="B224" s="13">
        <v>7290103704179</v>
      </c>
      <c r="C224" t="s">
        <v>22</v>
      </c>
      <c r="D224">
        <v>4</v>
      </c>
    </row>
    <row r="225" spans="1:4" x14ac:dyDescent="0.45">
      <c r="A225" s="29">
        <v>45813</v>
      </c>
      <c r="B225" s="13">
        <v>7290103704919</v>
      </c>
      <c r="C225" t="s">
        <v>22</v>
      </c>
      <c r="D225">
        <v>4</v>
      </c>
    </row>
    <row r="226" spans="1:4" x14ac:dyDescent="0.45">
      <c r="A226" s="29">
        <v>45813</v>
      </c>
      <c r="B226" s="13">
        <v>7290107280099</v>
      </c>
      <c r="C226" t="s">
        <v>22</v>
      </c>
      <c r="D226">
        <v>1</v>
      </c>
    </row>
    <row r="227" spans="1:4" x14ac:dyDescent="0.45">
      <c r="A227" s="29">
        <v>45813</v>
      </c>
      <c r="B227" s="13">
        <v>7290108351699</v>
      </c>
      <c r="C227" t="s">
        <v>22</v>
      </c>
      <c r="D227">
        <v>1</v>
      </c>
    </row>
    <row r="228" spans="1:4" x14ac:dyDescent="0.45">
      <c r="A228" s="29">
        <v>45813</v>
      </c>
      <c r="B228" s="13">
        <v>7290108352702</v>
      </c>
      <c r="C228" t="s">
        <v>22</v>
      </c>
      <c r="D228">
        <v>1</v>
      </c>
    </row>
    <row r="229" spans="1:4" x14ac:dyDescent="0.45">
      <c r="A229" s="29">
        <v>45813</v>
      </c>
      <c r="B229" s="13">
        <v>7290108356298</v>
      </c>
      <c r="C229" t="s">
        <v>22</v>
      </c>
      <c r="D229">
        <v>1</v>
      </c>
    </row>
    <row r="230" spans="1:4" x14ac:dyDescent="0.45">
      <c r="A230" s="29">
        <v>45813</v>
      </c>
      <c r="B230" s="13">
        <v>7290108356700</v>
      </c>
      <c r="C230" t="s">
        <v>22</v>
      </c>
      <c r="D230">
        <v>0</v>
      </c>
    </row>
    <row r="231" spans="1:4" x14ac:dyDescent="0.45">
      <c r="A231" s="29">
        <v>45813</v>
      </c>
      <c r="B231" s="13">
        <v>7290108356717</v>
      </c>
      <c r="C231" t="s">
        <v>22</v>
      </c>
      <c r="D231">
        <v>1</v>
      </c>
    </row>
    <row r="232" spans="1:4" x14ac:dyDescent="0.45">
      <c r="A232" s="29">
        <v>45813</v>
      </c>
      <c r="B232" s="13">
        <v>7290108356724</v>
      </c>
      <c r="C232" t="s">
        <v>22</v>
      </c>
      <c r="D232">
        <v>1</v>
      </c>
    </row>
    <row r="233" spans="1:4" x14ac:dyDescent="0.45">
      <c r="A233" s="29">
        <v>45813</v>
      </c>
      <c r="B233" s="13">
        <v>7290108357240</v>
      </c>
      <c r="C233" t="s">
        <v>22</v>
      </c>
      <c r="D233">
        <v>2</v>
      </c>
    </row>
    <row r="234" spans="1:4" x14ac:dyDescent="0.45">
      <c r="A234" s="29">
        <v>45813</v>
      </c>
      <c r="B234" s="13">
        <v>7290108357288</v>
      </c>
      <c r="C234" t="s">
        <v>22</v>
      </c>
      <c r="D234">
        <v>5</v>
      </c>
    </row>
    <row r="235" spans="1:4" x14ac:dyDescent="0.45">
      <c r="A235" s="29">
        <v>45813</v>
      </c>
      <c r="B235" s="13">
        <v>7290108357844</v>
      </c>
      <c r="C235" t="s">
        <v>22</v>
      </c>
      <c r="D235">
        <v>3</v>
      </c>
    </row>
    <row r="236" spans="1:4" x14ac:dyDescent="0.45">
      <c r="A236" s="29">
        <v>45813</v>
      </c>
      <c r="B236" s="13">
        <v>7290108359077</v>
      </c>
      <c r="C236" t="s">
        <v>22</v>
      </c>
      <c r="D236">
        <v>0</v>
      </c>
    </row>
    <row r="237" spans="1:4" x14ac:dyDescent="0.45">
      <c r="A237" s="29">
        <v>45813</v>
      </c>
      <c r="B237" s="13">
        <v>7290108359176</v>
      </c>
      <c r="C237" t="s">
        <v>22</v>
      </c>
      <c r="D237">
        <v>1</v>
      </c>
    </row>
    <row r="238" spans="1:4" x14ac:dyDescent="0.45">
      <c r="A238" s="29">
        <v>45813</v>
      </c>
      <c r="B238" s="13">
        <v>7290108359190</v>
      </c>
      <c r="C238" t="s">
        <v>22</v>
      </c>
      <c r="D238">
        <v>1</v>
      </c>
    </row>
    <row r="239" spans="1:4" x14ac:dyDescent="0.45">
      <c r="A239" s="29">
        <v>45813</v>
      </c>
      <c r="B239" s="13">
        <v>8001090184375</v>
      </c>
      <c r="C239" t="s">
        <v>22</v>
      </c>
      <c r="D239">
        <v>1</v>
      </c>
    </row>
    <row r="240" spans="1:4" x14ac:dyDescent="0.45">
      <c r="A240" s="29">
        <v>45813</v>
      </c>
      <c r="B240" s="13">
        <v>8001090184412</v>
      </c>
      <c r="C240" t="s">
        <v>22</v>
      </c>
      <c r="D240">
        <v>5</v>
      </c>
    </row>
    <row r="241" spans="1:4" x14ac:dyDescent="0.45">
      <c r="A241" s="29">
        <v>45813</v>
      </c>
      <c r="B241" s="13">
        <v>8001841625362</v>
      </c>
      <c r="C241" t="s">
        <v>22</v>
      </c>
      <c r="D241">
        <v>2</v>
      </c>
    </row>
    <row r="242" spans="1:4" x14ac:dyDescent="0.45">
      <c r="A242" s="29">
        <v>45813</v>
      </c>
      <c r="B242" s="13">
        <v>8001841893990</v>
      </c>
      <c r="C242" t="s">
        <v>22</v>
      </c>
      <c r="D242">
        <v>1</v>
      </c>
    </row>
    <row r="243" spans="1:4" x14ac:dyDescent="0.45">
      <c r="A243" s="29">
        <v>45813</v>
      </c>
      <c r="B243" s="13">
        <v>8006540429327</v>
      </c>
      <c r="C243" t="s">
        <v>22</v>
      </c>
      <c r="D243">
        <v>5</v>
      </c>
    </row>
    <row r="244" spans="1:4" x14ac:dyDescent="0.45">
      <c r="A244" s="29">
        <v>45813</v>
      </c>
      <c r="B244" s="13">
        <v>8700216163811</v>
      </c>
      <c r="C244" t="s">
        <v>22</v>
      </c>
      <c r="D244">
        <v>4</v>
      </c>
    </row>
    <row r="245" spans="1:4" x14ac:dyDescent="0.45">
      <c r="A245" s="29">
        <v>45813</v>
      </c>
      <c r="B245" s="13">
        <v>8700216236034</v>
      </c>
      <c r="C245" t="s">
        <v>22</v>
      </c>
      <c r="D245">
        <v>2</v>
      </c>
    </row>
    <row r="246" spans="1:4" x14ac:dyDescent="0.45">
      <c r="A246" s="29">
        <v>45813</v>
      </c>
      <c r="B246" s="13">
        <v>8700216236751</v>
      </c>
      <c r="C246" t="s">
        <v>22</v>
      </c>
      <c r="D246">
        <v>2</v>
      </c>
    </row>
    <row r="247" spans="1:4" x14ac:dyDescent="0.45">
      <c r="A247" s="29">
        <v>45814</v>
      </c>
      <c r="B247" s="13">
        <v>4084500088917</v>
      </c>
      <c r="C247" t="s">
        <v>22</v>
      </c>
      <c r="D247">
        <v>10</v>
      </c>
    </row>
    <row r="248" spans="1:4" x14ac:dyDescent="0.45">
      <c r="A248" s="29">
        <v>45814</v>
      </c>
      <c r="B248" s="13">
        <v>4084500853836</v>
      </c>
      <c r="C248" t="s">
        <v>22</v>
      </c>
      <c r="D248">
        <v>10</v>
      </c>
    </row>
    <row r="249" spans="1:4" x14ac:dyDescent="0.45">
      <c r="A249" s="29">
        <v>45814</v>
      </c>
      <c r="B249" s="13">
        <v>7290000286921</v>
      </c>
      <c r="C249" t="s">
        <v>22</v>
      </c>
      <c r="D249">
        <v>3</v>
      </c>
    </row>
    <row r="250" spans="1:4" x14ac:dyDescent="0.45">
      <c r="A250" s="29">
        <v>45814</v>
      </c>
      <c r="B250" s="13">
        <v>7290000288024</v>
      </c>
      <c r="C250" t="s">
        <v>22</v>
      </c>
      <c r="D250">
        <v>10</v>
      </c>
    </row>
    <row r="251" spans="1:4" x14ac:dyDescent="0.45">
      <c r="A251" s="29">
        <v>45814</v>
      </c>
      <c r="B251" s="13">
        <v>7290000288307</v>
      </c>
      <c r="C251" t="s">
        <v>22</v>
      </c>
      <c r="D251">
        <v>2</v>
      </c>
    </row>
    <row r="252" spans="1:4" x14ac:dyDescent="0.45">
      <c r="A252" s="29">
        <v>45814</v>
      </c>
      <c r="B252" s="13">
        <v>7290000288659</v>
      </c>
      <c r="C252" t="s">
        <v>22</v>
      </c>
      <c r="D252">
        <v>2</v>
      </c>
    </row>
    <row r="253" spans="1:4" x14ac:dyDescent="0.45">
      <c r="A253" s="29">
        <v>45814</v>
      </c>
      <c r="B253" s="13">
        <v>7290000292915</v>
      </c>
      <c r="C253" t="s">
        <v>22</v>
      </c>
      <c r="D253">
        <v>4</v>
      </c>
    </row>
    <row r="254" spans="1:4" x14ac:dyDescent="0.45">
      <c r="A254" s="29">
        <v>45814</v>
      </c>
      <c r="B254" s="13">
        <v>7290000294780</v>
      </c>
      <c r="C254" t="s">
        <v>22</v>
      </c>
      <c r="D254">
        <v>10</v>
      </c>
    </row>
    <row r="255" spans="1:4" x14ac:dyDescent="0.45">
      <c r="A255" s="29">
        <v>45814</v>
      </c>
      <c r="B255" s="13">
        <v>7290000295367</v>
      </c>
      <c r="C255" t="s">
        <v>22</v>
      </c>
      <c r="D255">
        <v>4</v>
      </c>
    </row>
    <row r="256" spans="1:4" x14ac:dyDescent="0.45">
      <c r="A256" s="29">
        <v>45814</v>
      </c>
      <c r="B256" s="13">
        <v>7290000295541</v>
      </c>
      <c r="C256" t="s">
        <v>22</v>
      </c>
      <c r="D256">
        <v>2</v>
      </c>
    </row>
    <row r="257" spans="1:4" x14ac:dyDescent="0.45">
      <c r="A257" s="29">
        <v>45814</v>
      </c>
      <c r="B257" s="13">
        <v>7290001246610</v>
      </c>
      <c r="C257" t="s">
        <v>22</v>
      </c>
      <c r="D257">
        <v>2</v>
      </c>
    </row>
    <row r="258" spans="1:4" x14ac:dyDescent="0.45">
      <c r="A258" s="29">
        <v>45814</v>
      </c>
      <c r="B258" s="13">
        <v>7290005424700</v>
      </c>
      <c r="C258" t="s">
        <v>22</v>
      </c>
      <c r="D258">
        <v>6</v>
      </c>
    </row>
    <row r="259" spans="1:4" x14ac:dyDescent="0.45">
      <c r="A259" s="29">
        <v>45814</v>
      </c>
      <c r="B259" s="13">
        <v>7290005425110</v>
      </c>
      <c r="C259" t="s">
        <v>22</v>
      </c>
      <c r="D259">
        <v>6</v>
      </c>
    </row>
    <row r="260" spans="1:4" x14ac:dyDescent="0.45">
      <c r="A260" s="29">
        <v>45814</v>
      </c>
      <c r="B260" s="13">
        <v>7290005425196</v>
      </c>
      <c r="C260" t="s">
        <v>22</v>
      </c>
      <c r="D260">
        <v>2</v>
      </c>
    </row>
    <row r="261" spans="1:4" x14ac:dyDescent="0.45">
      <c r="A261" s="29">
        <v>45814</v>
      </c>
      <c r="B261" s="13">
        <v>7290012116025</v>
      </c>
      <c r="C261" t="s">
        <v>22</v>
      </c>
      <c r="D261">
        <v>2</v>
      </c>
    </row>
    <row r="262" spans="1:4" x14ac:dyDescent="0.45">
      <c r="A262" s="29">
        <v>45814</v>
      </c>
      <c r="B262" s="13">
        <v>7290012117534</v>
      </c>
      <c r="C262" t="s">
        <v>22</v>
      </c>
      <c r="D262">
        <v>2</v>
      </c>
    </row>
    <row r="263" spans="1:4" x14ac:dyDescent="0.45">
      <c r="A263" s="29">
        <v>45814</v>
      </c>
      <c r="B263" s="13">
        <v>7290013268204</v>
      </c>
      <c r="C263" t="s">
        <v>22</v>
      </c>
      <c r="D263">
        <v>3</v>
      </c>
    </row>
    <row r="264" spans="1:4" x14ac:dyDescent="0.45">
      <c r="A264" s="29">
        <v>45814</v>
      </c>
      <c r="B264" s="13">
        <v>7290013268891</v>
      </c>
      <c r="C264" t="s">
        <v>22</v>
      </c>
      <c r="D264">
        <v>4</v>
      </c>
    </row>
    <row r="265" spans="1:4" x14ac:dyDescent="0.45">
      <c r="A265" s="29">
        <v>45814</v>
      </c>
      <c r="B265" s="13">
        <v>7290013269003</v>
      </c>
      <c r="C265" t="s">
        <v>22</v>
      </c>
      <c r="D265">
        <v>4</v>
      </c>
    </row>
    <row r="266" spans="1:4" x14ac:dyDescent="0.45">
      <c r="A266" s="29">
        <v>45814</v>
      </c>
      <c r="B266" s="13">
        <v>7290014397453</v>
      </c>
      <c r="C266" t="s">
        <v>22</v>
      </c>
      <c r="D266">
        <v>2</v>
      </c>
    </row>
    <row r="267" spans="1:4" x14ac:dyDescent="0.45">
      <c r="A267" s="29">
        <v>45814</v>
      </c>
      <c r="B267" s="13">
        <v>7290019274483</v>
      </c>
      <c r="C267" t="s">
        <v>22</v>
      </c>
      <c r="D267">
        <v>2</v>
      </c>
    </row>
    <row r="268" spans="1:4" x14ac:dyDescent="0.45">
      <c r="A268" s="29">
        <v>45814</v>
      </c>
      <c r="B268" s="13">
        <v>7290019274490</v>
      </c>
      <c r="C268" t="s">
        <v>22</v>
      </c>
      <c r="D268">
        <v>2</v>
      </c>
    </row>
    <row r="269" spans="1:4" x14ac:dyDescent="0.45">
      <c r="A269" s="29">
        <v>45814</v>
      </c>
      <c r="B269" s="13">
        <v>7290019611325</v>
      </c>
      <c r="C269" t="s">
        <v>22</v>
      </c>
      <c r="D269">
        <v>4</v>
      </c>
    </row>
    <row r="270" spans="1:4" x14ac:dyDescent="0.45">
      <c r="A270" s="29">
        <v>45814</v>
      </c>
      <c r="B270" s="13">
        <v>7290103702489</v>
      </c>
      <c r="C270" t="s">
        <v>22</v>
      </c>
      <c r="D270">
        <v>8</v>
      </c>
    </row>
    <row r="271" spans="1:4" x14ac:dyDescent="0.45">
      <c r="A271" s="29">
        <v>45814</v>
      </c>
      <c r="B271" s="13">
        <v>7290103703370</v>
      </c>
      <c r="C271" t="s">
        <v>22</v>
      </c>
      <c r="D271">
        <v>10</v>
      </c>
    </row>
    <row r="272" spans="1:4" x14ac:dyDescent="0.45">
      <c r="A272" s="29">
        <v>45814</v>
      </c>
      <c r="B272" s="13">
        <v>7290103704155</v>
      </c>
      <c r="C272" t="s">
        <v>22</v>
      </c>
      <c r="D272">
        <v>8</v>
      </c>
    </row>
    <row r="273" spans="1:4" x14ac:dyDescent="0.45">
      <c r="A273" s="29">
        <v>45814</v>
      </c>
      <c r="B273" s="13">
        <v>7290103704179</v>
      </c>
      <c r="C273" t="s">
        <v>22</v>
      </c>
      <c r="D273">
        <v>10</v>
      </c>
    </row>
    <row r="274" spans="1:4" x14ac:dyDescent="0.45">
      <c r="A274" s="29">
        <v>45814</v>
      </c>
      <c r="B274" s="13">
        <v>7290103704919</v>
      </c>
      <c r="C274" t="s">
        <v>22</v>
      </c>
      <c r="D274">
        <v>10</v>
      </c>
    </row>
    <row r="275" spans="1:4" x14ac:dyDescent="0.45">
      <c r="A275" s="29">
        <v>45814</v>
      </c>
      <c r="B275" s="13">
        <v>7290107280099</v>
      </c>
      <c r="C275" t="s">
        <v>22</v>
      </c>
      <c r="D275">
        <v>2</v>
      </c>
    </row>
    <row r="276" spans="1:4" x14ac:dyDescent="0.45">
      <c r="A276" s="29">
        <v>45814</v>
      </c>
      <c r="B276" s="13">
        <v>7290108351699</v>
      </c>
      <c r="C276" t="s">
        <v>22</v>
      </c>
      <c r="D276">
        <v>6</v>
      </c>
    </row>
    <row r="277" spans="1:4" x14ac:dyDescent="0.45">
      <c r="A277" s="29">
        <v>45814</v>
      </c>
      <c r="B277" s="13">
        <v>7290108352702</v>
      </c>
      <c r="C277" t="s">
        <v>22</v>
      </c>
      <c r="D277">
        <v>2</v>
      </c>
    </row>
    <row r="278" spans="1:4" x14ac:dyDescent="0.45">
      <c r="A278" s="29">
        <v>45814</v>
      </c>
      <c r="B278" s="13">
        <v>7290108356298</v>
      </c>
      <c r="C278" t="s">
        <v>22</v>
      </c>
      <c r="D278">
        <v>4</v>
      </c>
    </row>
    <row r="279" spans="1:4" x14ac:dyDescent="0.45">
      <c r="A279" s="29">
        <v>45814</v>
      </c>
      <c r="B279" s="13">
        <v>7290108356700</v>
      </c>
      <c r="C279" t="s">
        <v>22</v>
      </c>
      <c r="D279">
        <v>3</v>
      </c>
    </row>
    <row r="280" spans="1:4" x14ac:dyDescent="0.45">
      <c r="A280" s="29">
        <v>45814</v>
      </c>
      <c r="B280" s="13">
        <v>7290108356717</v>
      </c>
      <c r="C280" t="s">
        <v>22</v>
      </c>
      <c r="D280">
        <v>2</v>
      </c>
    </row>
    <row r="281" spans="1:4" x14ac:dyDescent="0.45">
      <c r="A281" s="29">
        <v>45814</v>
      </c>
      <c r="B281" s="13">
        <v>7290108356724</v>
      </c>
      <c r="C281" t="s">
        <v>22</v>
      </c>
      <c r="D281">
        <v>6</v>
      </c>
    </row>
    <row r="282" spans="1:4" x14ac:dyDescent="0.45">
      <c r="A282" s="29">
        <v>45814</v>
      </c>
      <c r="B282" s="13">
        <v>7290108357240</v>
      </c>
      <c r="C282" t="s">
        <v>22</v>
      </c>
      <c r="D282">
        <v>4</v>
      </c>
    </row>
    <row r="283" spans="1:4" x14ac:dyDescent="0.45">
      <c r="A283" s="29">
        <v>45814</v>
      </c>
      <c r="B283" s="13">
        <v>7290108357288</v>
      </c>
      <c r="C283" t="s">
        <v>22</v>
      </c>
      <c r="D283">
        <v>8</v>
      </c>
    </row>
    <row r="284" spans="1:4" x14ac:dyDescent="0.45">
      <c r="A284" s="29">
        <v>45814</v>
      </c>
      <c r="B284" s="13">
        <v>7290108357844</v>
      </c>
      <c r="C284" t="s">
        <v>22</v>
      </c>
      <c r="D284">
        <v>6</v>
      </c>
    </row>
    <row r="285" spans="1:4" x14ac:dyDescent="0.45">
      <c r="A285" s="29">
        <v>45814</v>
      </c>
      <c r="B285" s="13">
        <v>7290108359077</v>
      </c>
      <c r="C285" t="s">
        <v>22</v>
      </c>
      <c r="D285">
        <v>3</v>
      </c>
    </row>
    <row r="286" spans="1:4" x14ac:dyDescent="0.45">
      <c r="A286" s="29">
        <v>45814</v>
      </c>
      <c r="B286" s="13">
        <v>7290108359176</v>
      </c>
      <c r="C286" t="s">
        <v>22</v>
      </c>
      <c r="D286">
        <v>2</v>
      </c>
    </row>
    <row r="287" spans="1:4" x14ac:dyDescent="0.45">
      <c r="A287" s="29">
        <v>45814</v>
      </c>
      <c r="B287" s="13">
        <v>7290108359190</v>
      </c>
      <c r="C287" t="s">
        <v>22</v>
      </c>
      <c r="D287">
        <v>3</v>
      </c>
    </row>
    <row r="288" spans="1:4" x14ac:dyDescent="0.45">
      <c r="A288" s="29">
        <v>45814</v>
      </c>
      <c r="B288" s="13">
        <v>8001090184375</v>
      </c>
      <c r="C288" t="s">
        <v>22</v>
      </c>
      <c r="D288">
        <v>2</v>
      </c>
    </row>
    <row r="289" spans="1:4" x14ac:dyDescent="0.45">
      <c r="A289" s="29">
        <v>45814</v>
      </c>
      <c r="B289" s="13">
        <v>8001090184412</v>
      </c>
      <c r="C289" t="s">
        <v>22</v>
      </c>
      <c r="D289">
        <v>10</v>
      </c>
    </row>
    <row r="290" spans="1:4" x14ac:dyDescent="0.45">
      <c r="A290" s="29">
        <v>45814</v>
      </c>
      <c r="B290" s="13">
        <v>8001841625362</v>
      </c>
      <c r="C290" t="s">
        <v>22</v>
      </c>
      <c r="D290">
        <v>2</v>
      </c>
    </row>
    <row r="291" spans="1:4" x14ac:dyDescent="0.45">
      <c r="A291" s="29">
        <v>45814</v>
      </c>
      <c r="B291" s="13">
        <v>8001841893990</v>
      </c>
      <c r="C291" t="s">
        <v>22</v>
      </c>
      <c r="D291">
        <v>2</v>
      </c>
    </row>
    <row r="292" spans="1:4" x14ac:dyDescent="0.45">
      <c r="A292" s="29">
        <v>45814</v>
      </c>
      <c r="B292" s="13">
        <v>8006540429327</v>
      </c>
      <c r="C292" t="s">
        <v>22</v>
      </c>
      <c r="D292">
        <v>8</v>
      </c>
    </row>
    <row r="293" spans="1:4" x14ac:dyDescent="0.45">
      <c r="A293" s="29">
        <v>45814</v>
      </c>
      <c r="B293" s="13">
        <v>8700216163811</v>
      </c>
      <c r="C293" t="s">
        <v>22</v>
      </c>
      <c r="D293">
        <v>10</v>
      </c>
    </row>
    <row r="294" spans="1:4" x14ac:dyDescent="0.45">
      <c r="A294" s="29">
        <v>45814</v>
      </c>
      <c r="B294" s="13">
        <v>8700216236034</v>
      </c>
      <c r="C294" t="s">
        <v>22</v>
      </c>
      <c r="D294">
        <v>4</v>
      </c>
    </row>
    <row r="295" spans="1:4" x14ac:dyDescent="0.45">
      <c r="A295" s="29">
        <v>45814</v>
      </c>
      <c r="B295" s="13">
        <v>8700216236751</v>
      </c>
      <c r="C295" t="s">
        <v>22</v>
      </c>
      <c r="D295">
        <v>4</v>
      </c>
    </row>
    <row r="296" spans="1:4" x14ac:dyDescent="0.45">
      <c r="A296" s="29">
        <v>45815</v>
      </c>
      <c r="B296" s="13">
        <v>4084500088917</v>
      </c>
      <c r="C296" t="s">
        <v>22</v>
      </c>
      <c r="D296">
        <v>10</v>
      </c>
    </row>
    <row r="297" spans="1:4" x14ac:dyDescent="0.45">
      <c r="A297" s="29">
        <v>45815</v>
      </c>
      <c r="B297" s="13">
        <v>4084500853836</v>
      </c>
      <c r="C297" t="s">
        <v>22</v>
      </c>
      <c r="D297">
        <v>10</v>
      </c>
    </row>
    <row r="298" spans="1:4" x14ac:dyDescent="0.45">
      <c r="A298" s="29">
        <v>45815</v>
      </c>
      <c r="B298" s="13">
        <v>7290000286921</v>
      </c>
      <c r="C298" t="s">
        <v>22</v>
      </c>
      <c r="D298">
        <v>4</v>
      </c>
    </row>
    <row r="299" spans="1:4" x14ac:dyDescent="0.45">
      <c r="A299" s="29">
        <v>45815</v>
      </c>
      <c r="B299" s="13">
        <v>7290000288024</v>
      </c>
      <c r="C299" t="s">
        <v>22</v>
      </c>
      <c r="D299">
        <v>10</v>
      </c>
    </row>
    <row r="300" spans="1:4" x14ac:dyDescent="0.45">
      <c r="A300" s="29">
        <v>45815</v>
      </c>
      <c r="B300" s="13">
        <v>7290000288307</v>
      </c>
      <c r="C300" t="s">
        <v>22</v>
      </c>
      <c r="D300">
        <v>2</v>
      </c>
    </row>
    <row r="301" spans="1:4" x14ac:dyDescent="0.45">
      <c r="A301" s="29">
        <v>45815</v>
      </c>
      <c r="B301" s="13">
        <v>7290000288659</v>
      </c>
      <c r="C301" t="s">
        <v>22</v>
      </c>
      <c r="D301">
        <v>3</v>
      </c>
    </row>
    <row r="302" spans="1:4" x14ac:dyDescent="0.45">
      <c r="A302" s="29">
        <v>45815</v>
      </c>
      <c r="B302" s="13">
        <v>7290000292915</v>
      </c>
      <c r="C302" t="s">
        <v>22</v>
      </c>
      <c r="D302">
        <v>2</v>
      </c>
    </row>
    <row r="303" spans="1:4" x14ac:dyDescent="0.45">
      <c r="A303" s="29">
        <v>45815</v>
      </c>
      <c r="B303" s="13">
        <v>7290000294780</v>
      </c>
      <c r="C303" t="s">
        <v>22</v>
      </c>
      <c r="D303">
        <v>10</v>
      </c>
    </row>
    <row r="304" spans="1:4" x14ac:dyDescent="0.45">
      <c r="A304" s="29">
        <v>45815</v>
      </c>
      <c r="B304" s="13">
        <v>7290000295367</v>
      </c>
      <c r="C304" t="s">
        <v>22</v>
      </c>
      <c r="D304">
        <v>4</v>
      </c>
    </row>
    <row r="305" spans="1:4" x14ac:dyDescent="0.45">
      <c r="A305" s="29">
        <v>45815</v>
      </c>
      <c r="B305" s="13">
        <v>7290000295541</v>
      </c>
      <c r="C305" t="s">
        <v>22</v>
      </c>
      <c r="D305">
        <v>2</v>
      </c>
    </row>
    <row r="306" spans="1:4" x14ac:dyDescent="0.45">
      <c r="A306" s="29">
        <v>45815</v>
      </c>
      <c r="B306" s="13">
        <v>7290001246610</v>
      </c>
      <c r="C306" t="s">
        <v>22</v>
      </c>
      <c r="D306">
        <v>4</v>
      </c>
    </row>
    <row r="307" spans="1:4" x14ac:dyDescent="0.45">
      <c r="A307" s="29">
        <v>45815</v>
      </c>
      <c r="B307" s="13">
        <v>7290005424700</v>
      </c>
      <c r="C307" t="s">
        <v>22</v>
      </c>
      <c r="D307">
        <v>6</v>
      </c>
    </row>
    <row r="308" spans="1:4" x14ac:dyDescent="0.45">
      <c r="A308" s="29">
        <v>45815</v>
      </c>
      <c r="B308" s="13">
        <v>7290005425110</v>
      </c>
      <c r="C308" t="s">
        <v>22</v>
      </c>
      <c r="D308">
        <v>4</v>
      </c>
    </row>
    <row r="309" spans="1:4" x14ac:dyDescent="0.45">
      <c r="A309" s="29">
        <v>45815</v>
      </c>
      <c r="B309" s="13">
        <v>7290005425196</v>
      </c>
      <c r="C309" t="s">
        <v>22</v>
      </c>
      <c r="D309">
        <v>2</v>
      </c>
    </row>
    <row r="310" spans="1:4" x14ac:dyDescent="0.45">
      <c r="A310" s="29">
        <v>45815</v>
      </c>
      <c r="B310" s="13">
        <v>7290012116025</v>
      </c>
      <c r="C310" t="s">
        <v>22</v>
      </c>
      <c r="D310">
        <v>2</v>
      </c>
    </row>
    <row r="311" spans="1:4" x14ac:dyDescent="0.45">
      <c r="A311" s="29">
        <v>45815</v>
      </c>
      <c r="B311" s="13">
        <v>7290012117534</v>
      </c>
      <c r="C311" t="s">
        <v>22</v>
      </c>
      <c r="D311">
        <v>2</v>
      </c>
    </row>
    <row r="312" spans="1:4" x14ac:dyDescent="0.45">
      <c r="A312" s="29">
        <v>45815</v>
      </c>
      <c r="B312" s="13">
        <v>7290013268204</v>
      </c>
      <c r="C312" t="s">
        <v>22</v>
      </c>
      <c r="D312">
        <v>3</v>
      </c>
    </row>
    <row r="313" spans="1:4" x14ac:dyDescent="0.45">
      <c r="A313" s="29">
        <v>45815</v>
      </c>
      <c r="B313" s="13">
        <v>7290013268891</v>
      </c>
      <c r="C313" t="s">
        <v>22</v>
      </c>
      <c r="D313">
        <v>4</v>
      </c>
    </row>
    <row r="314" spans="1:4" x14ac:dyDescent="0.45">
      <c r="A314" s="29">
        <v>45815</v>
      </c>
      <c r="B314" s="13">
        <v>7290013269003</v>
      </c>
      <c r="C314" t="s">
        <v>22</v>
      </c>
      <c r="D314">
        <v>2</v>
      </c>
    </row>
    <row r="315" spans="1:4" x14ac:dyDescent="0.45">
      <c r="A315" s="29">
        <v>45815</v>
      </c>
      <c r="B315" s="13">
        <v>7290014397453</v>
      </c>
      <c r="C315" t="s">
        <v>22</v>
      </c>
      <c r="D315">
        <v>2</v>
      </c>
    </row>
    <row r="316" spans="1:4" x14ac:dyDescent="0.45">
      <c r="A316" s="29">
        <v>45815</v>
      </c>
      <c r="B316" s="13">
        <v>7290019274483</v>
      </c>
      <c r="C316" t="s">
        <v>22</v>
      </c>
      <c r="D316">
        <v>2</v>
      </c>
    </row>
    <row r="317" spans="1:4" x14ac:dyDescent="0.45">
      <c r="A317" s="29">
        <v>45815</v>
      </c>
      <c r="B317" s="13">
        <v>7290019274490</v>
      </c>
      <c r="C317" t="s">
        <v>22</v>
      </c>
      <c r="D317">
        <v>4</v>
      </c>
    </row>
    <row r="318" spans="1:4" x14ac:dyDescent="0.45">
      <c r="A318" s="29">
        <v>45815</v>
      </c>
      <c r="B318" s="13">
        <v>7290019611325</v>
      </c>
      <c r="C318" t="s">
        <v>22</v>
      </c>
      <c r="D318">
        <v>2</v>
      </c>
    </row>
    <row r="319" spans="1:4" x14ac:dyDescent="0.45">
      <c r="A319" s="29">
        <v>45815</v>
      </c>
      <c r="B319" s="13">
        <v>7290103702489</v>
      </c>
      <c r="C319" t="s">
        <v>22</v>
      </c>
      <c r="D319">
        <v>10</v>
      </c>
    </row>
    <row r="320" spans="1:4" x14ac:dyDescent="0.45">
      <c r="A320" s="29">
        <v>45815</v>
      </c>
      <c r="B320" s="13">
        <v>7290103703370</v>
      </c>
      <c r="C320" t="s">
        <v>22</v>
      </c>
      <c r="D320">
        <v>10</v>
      </c>
    </row>
    <row r="321" spans="1:4" x14ac:dyDescent="0.45">
      <c r="A321" s="29">
        <v>45815</v>
      </c>
      <c r="B321" s="13">
        <v>7290103704155</v>
      </c>
      <c r="C321" t="s">
        <v>22</v>
      </c>
      <c r="D321">
        <v>10</v>
      </c>
    </row>
    <row r="322" spans="1:4" x14ac:dyDescent="0.45">
      <c r="A322" s="29">
        <v>45815</v>
      </c>
      <c r="B322" s="13">
        <v>7290103704179</v>
      </c>
      <c r="C322" t="s">
        <v>22</v>
      </c>
      <c r="D322">
        <v>10</v>
      </c>
    </row>
    <row r="323" spans="1:4" x14ac:dyDescent="0.45">
      <c r="A323" s="29">
        <v>45815</v>
      </c>
      <c r="B323" s="13">
        <v>7290103704919</v>
      </c>
      <c r="C323" t="s">
        <v>22</v>
      </c>
      <c r="D323">
        <v>8</v>
      </c>
    </row>
    <row r="324" spans="1:4" x14ac:dyDescent="0.45">
      <c r="A324" s="29">
        <v>45815</v>
      </c>
      <c r="B324" s="13">
        <v>7290107280099</v>
      </c>
      <c r="C324" t="s">
        <v>22</v>
      </c>
      <c r="D324">
        <v>3</v>
      </c>
    </row>
    <row r="325" spans="1:4" x14ac:dyDescent="0.45">
      <c r="A325" s="29">
        <v>45815</v>
      </c>
      <c r="B325" s="13">
        <v>7290108351699</v>
      </c>
      <c r="C325" t="s">
        <v>22</v>
      </c>
      <c r="D325">
        <v>4</v>
      </c>
    </row>
    <row r="326" spans="1:4" x14ac:dyDescent="0.45">
      <c r="A326" s="29">
        <v>45815</v>
      </c>
      <c r="B326" s="13">
        <v>7290108352702</v>
      </c>
      <c r="C326" t="s">
        <v>22</v>
      </c>
      <c r="D326">
        <v>2</v>
      </c>
    </row>
    <row r="327" spans="1:4" x14ac:dyDescent="0.45">
      <c r="A327" s="29">
        <v>45815</v>
      </c>
      <c r="B327" s="13">
        <v>7290108356298</v>
      </c>
      <c r="C327" t="s">
        <v>22</v>
      </c>
      <c r="D327">
        <v>6</v>
      </c>
    </row>
    <row r="328" spans="1:4" x14ac:dyDescent="0.45">
      <c r="A328" s="29">
        <v>45815</v>
      </c>
      <c r="B328" s="13">
        <v>7290108356700</v>
      </c>
      <c r="C328" t="s">
        <v>22</v>
      </c>
      <c r="D328">
        <v>3</v>
      </c>
    </row>
    <row r="329" spans="1:4" x14ac:dyDescent="0.45">
      <c r="A329" s="29">
        <v>45815</v>
      </c>
      <c r="B329" s="13">
        <v>7290108356717</v>
      </c>
      <c r="C329" t="s">
        <v>22</v>
      </c>
      <c r="D329">
        <v>4</v>
      </c>
    </row>
    <row r="330" spans="1:4" x14ac:dyDescent="0.45">
      <c r="A330" s="29">
        <v>45815</v>
      </c>
      <c r="B330" s="13">
        <v>7290108356724</v>
      </c>
      <c r="C330" t="s">
        <v>22</v>
      </c>
      <c r="D330">
        <v>6</v>
      </c>
    </row>
    <row r="331" spans="1:4" x14ac:dyDescent="0.45">
      <c r="A331" s="29">
        <v>45815</v>
      </c>
      <c r="B331" s="13">
        <v>7290108357240</v>
      </c>
      <c r="C331" t="s">
        <v>22</v>
      </c>
      <c r="D331">
        <v>4</v>
      </c>
    </row>
    <row r="332" spans="1:4" x14ac:dyDescent="0.45">
      <c r="A332" s="29">
        <v>45815</v>
      </c>
      <c r="B332" s="13">
        <v>7290108357288</v>
      </c>
      <c r="C332" t="s">
        <v>22</v>
      </c>
      <c r="D332">
        <v>10</v>
      </c>
    </row>
    <row r="333" spans="1:4" x14ac:dyDescent="0.45">
      <c r="A333" s="29">
        <v>45815</v>
      </c>
      <c r="B333" s="13">
        <v>7290108357844</v>
      </c>
      <c r="C333" t="s">
        <v>22</v>
      </c>
      <c r="D333">
        <v>6</v>
      </c>
    </row>
    <row r="334" spans="1:4" x14ac:dyDescent="0.45">
      <c r="A334" s="29">
        <v>45815</v>
      </c>
      <c r="B334" s="13">
        <v>7290108359077</v>
      </c>
      <c r="C334" t="s">
        <v>22</v>
      </c>
      <c r="D334">
        <v>3</v>
      </c>
    </row>
    <row r="335" spans="1:4" x14ac:dyDescent="0.45">
      <c r="A335" s="29">
        <v>45815</v>
      </c>
      <c r="B335" s="13">
        <v>7290108359176</v>
      </c>
      <c r="C335" t="s">
        <v>22</v>
      </c>
      <c r="D335">
        <v>3</v>
      </c>
    </row>
    <row r="336" spans="1:4" x14ac:dyDescent="0.45">
      <c r="A336" s="29">
        <v>45815</v>
      </c>
      <c r="B336" s="13">
        <v>7290108359190</v>
      </c>
      <c r="C336" t="s">
        <v>22</v>
      </c>
      <c r="D336">
        <v>3</v>
      </c>
    </row>
    <row r="337" spans="1:4" x14ac:dyDescent="0.45">
      <c r="A337" s="29">
        <v>45815</v>
      </c>
      <c r="B337" s="13">
        <v>8001090184375</v>
      </c>
      <c r="C337" t="s">
        <v>22</v>
      </c>
      <c r="D337">
        <v>4</v>
      </c>
    </row>
    <row r="338" spans="1:4" x14ac:dyDescent="0.45">
      <c r="A338" s="29">
        <v>45815</v>
      </c>
      <c r="B338" s="13">
        <v>8001090184412</v>
      </c>
      <c r="C338" t="s">
        <v>22</v>
      </c>
      <c r="D338">
        <v>8</v>
      </c>
    </row>
    <row r="339" spans="1:4" x14ac:dyDescent="0.45">
      <c r="A339" s="29">
        <v>45815</v>
      </c>
      <c r="B339" s="13">
        <v>8001841625362</v>
      </c>
      <c r="C339" t="s">
        <v>22</v>
      </c>
      <c r="D339">
        <v>4</v>
      </c>
    </row>
    <row r="340" spans="1:4" x14ac:dyDescent="0.45">
      <c r="A340" s="29">
        <v>45815</v>
      </c>
      <c r="B340" s="13">
        <v>8001841893990</v>
      </c>
      <c r="C340" t="s">
        <v>22</v>
      </c>
      <c r="D340">
        <v>2</v>
      </c>
    </row>
    <row r="341" spans="1:4" x14ac:dyDescent="0.45">
      <c r="A341" s="29">
        <v>45815</v>
      </c>
      <c r="B341" s="13">
        <v>8006540429327</v>
      </c>
      <c r="C341" t="s">
        <v>22</v>
      </c>
      <c r="D341">
        <v>8</v>
      </c>
    </row>
    <row r="342" spans="1:4" x14ac:dyDescent="0.45">
      <c r="A342" s="29">
        <v>45815</v>
      </c>
      <c r="B342" s="13">
        <v>8700216163811</v>
      </c>
      <c r="C342" t="s">
        <v>22</v>
      </c>
      <c r="D342">
        <v>8</v>
      </c>
    </row>
    <row r="343" spans="1:4" x14ac:dyDescent="0.45">
      <c r="A343" s="29">
        <v>45815</v>
      </c>
      <c r="B343" s="13">
        <v>8700216236034</v>
      </c>
      <c r="C343" t="s">
        <v>22</v>
      </c>
      <c r="D343">
        <v>2</v>
      </c>
    </row>
    <row r="344" spans="1:4" x14ac:dyDescent="0.45">
      <c r="A344" s="29">
        <v>45815</v>
      </c>
      <c r="B344" s="13">
        <v>8700216236751</v>
      </c>
      <c r="C344" t="s">
        <v>22</v>
      </c>
      <c r="D344">
        <v>4</v>
      </c>
    </row>
    <row r="345" spans="1:4" x14ac:dyDescent="0.45">
      <c r="A345" s="29">
        <v>45816</v>
      </c>
      <c r="B345" s="13">
        <v>4084500088917</v>
      </c>
      <c r="C345" t="s">
        <v>22</v>
      </c>
      <c r="D345">
        <v>5</v>
      </c>
    </row>
    <row r="346" spans="1:4" x14ac:dyDescent="0.45">
      <c r="A346" s="29">
        <v>45816</v>
      </c>
      <c r="B346" s="13">
        <v>4084500853836</v>
      </c>
      <c r="C346" t="s">
        <v>22</v>
      </c>
      <c r="D346">
        <v>5</v>
      </c>
    </row>
    <row r="347" spans="1:4" x14ac:dyDescent="0.45">
      <c r="A347" s="29">
        <v>45816</v>
      </c>
      <c r="B347" s="13">
        <v>7290000286921</v>
      </c>
      <c r="C347" t="s">
        <v>22</v>
      </c>
      <c r="D347">
        <v>2</v>
      </c>
    </row>
    <row r="348" spans="1:4" x14ac:dyDescent="0.45">
      <c r="A348" s="29">
        <v>45816</v>
      </c>
      <c r="B348" s="13">
        <v>7290000288024</v>
      </c>
      <c r="C348" t="s">
        <v>22</v>
      </c>
      <c r="D348">
        <v>5</v>
      </c>
    </row>
    <row r="349" spans="1:4" x14ac:dyDescent="0.45">
      <c r="A349" s="29">
        <v>45816</v>
      </c>
      <c r="B349" s="13">
        <v>7290000288307</v>
      </c>
      <c r="C349" t="s">
        <v>22</v>
      </c>
      <c r="D349">
        <v>0</v>
      </c>
    </row>
    <row r="350" spans="1:4" x14ac:dyDescent="0.45">
      <c r="A350" s="29">
        <v>45816</v>
      </c>
      <c r="B350" s="13">
        <v>7290000288659</v>
      </c>
      <c r="C350" t="s">
        <v>22</v>
      </c>
      <c r="D350">
        <v>0</v>
      </c>
    </row>
    <row r="351" spans="1:4" x14ac:dyDescent="0.45">
      <c r="A351" s="29">
        <v>45816</v>
      </c>
      <c r="B351" s="13">
        <v>7290000292915</v>
      </c>
      <c r="C351" t="s">
        <v>22</v>
      </c>
      <c r="D351">
        <v>1</v>
      </c>
    </row>
    <row r="352" spans="1:4" x14ac:dyDescent="0.45">
      <c r="A352" s="29">
        <v>45816</v>
      </c>
      <c r="B352" s="13">
        <v>7290000294780</v>
      </c>
      <c r="C352" t="s">
        <v>22</v>
      </c>
      <c r="D352">
        <v>4</v>
      </c>
    </row>
    <row r="353" spans="1:4" x14ac:dyDescent="0.45">
      <c r="A353" s="29">
        <v>45816</v>
      </c>
      <c r="B353" s="13">
        <v>7290000295367</v>
      </c>
      <c r="C353" t="s">
        <v>22</v>
      </c>
      <c r="D353">
        <v>2</v>
      </c>
    </row>
    <row r="354" spans="1:4" x14ac:dyDescent="0.45">
      <c r="A354" s="29">
        <v>45816</v>
      </c>
      <c r="B354" s="13">
        <v>7290000295541</v>
      </c>
      <c r="C354" t="s">
        <v>22</v>
      </c>
      <c r="D354">
        <v>0</v>
      </c>
    </row>
    <row r="355" spans="1:4" x14ac:dyDescent="0.45">
      <c r="A355" s="29">
        <v>45816</v>
      </c>
      <c r="B355" s="13">
        <v>7290001246610</v>
      </c>
      <c r="C355" t="s">
        <v>22</v>
      </c>
      <c r="D355">
        <v>2</v>
      </c>
    </row>
    <row r="356" spans="1:4" x14ac:dyDescent="0.45">
      <c r="A356" s="29">
        <v>45816</v>
      </c>
      <c r="B356" s="13">
        <v>7290005424700</v>
      </c>
      <c r="C356" t="s">
        <v>22</v>
      </c>
      <c r="D356">
        <v>1</v>
      </c>
    </row>
    <row r="357" spans="1:4" x14ac:dyDescent="0.45">
      <c r="A357" s="29">
        <v>45816</v>
      </c>
      <c r="B357" s="13">
        <v>7290005425110</v>
      </c>
      <c r="C357" t="s">
        <v>22</v>
      </c>
      <c r="D357">
        <v>2</v>
      </c>
    </row>
    <row r="358" spans="1:4" x14ac:dyDescent="0.45">
      <c r="A358" s="29">
        <v>45816</v>
      </c>
      <c r="B358" s="13">
        <v>7290005425196</v>
      </c>
      <c r="C358" t="s">
        <v>22</v>
      </c>
      <c r="D358">
        <v>1</v>
      </c>
    </row>
    <row r="359" spans="1:4" x14ac:dyDescent="0.45">
      <c r="A359" s="29">
        <v>45816</v>
      </c>
      <c r="B359" s="13">
        <v>7290012116025</v>
      </c>
      <c r="C359" t="s">
        <v>22</v>
      </c>
      <c r="D359">
        <v>3</v>
      </c>
    </row>
    <row r="360" spans="1:4" x14ac:dyDescent="0.45">
      <c r="A360" s="29">
        <v>45816</v>
      </c>
      <c r="B360" s="13">
        <v>7290012117534</v>
      </c>
      <c r="C360" t="s">
        <v>22</v>
      </c>
      <c r="D360">
        <v>2</v>
      </c>
    </row>
    <row r="361" spans="1:4" x14ac:dyDescent="0.45">
      <c r="A361" s="29">
        <v>45816</v>
      </c>
      <c r="B361" s="13">
        <v>7290013268204</v>
      </c>
      <c r="C361" t="s">
        <v>22</v>
      </c>
      <c r="D361">
        <v>0</v>
      </c>
    </row>
    <row r="362" spans="1:4" x14ac:dyDescent="0.45">
      <c r="A362" s="29">
        <v>45816</v>
      </c>
      <c r="B362" s="13">
        <v>7290013268891</v>
      </c>
      <c r="C362" t="s">
        <v>22</v>
      </c>
      <c r="D362">
        <v>2</v>
      </c>
    </row>
    <row r="363" spans="1:4" x14ac:dyDescent="0.45">
      <c r="A363" s="29">
        <v>45816</v>
      </c>
      <c r="B363" s="13">
        <v>7290013269003</v>
      </c>
      <c r="C363" t="s">
        <v>22</v>
      </c>
      <c r="D363">
        <v>2</v>
      </c>
    </row>
    <row r="364" spans="1:4" x14ac:dyDescent="0.45">
      <c r="A364" s="29">
        <v>45816</v>
      </c>
      <c r="B364" s="13">
        <v>7290014397453</v>
      </c>
      <c r="C364" t="s">
        <v>22</v>
      </c>
      <c r="D364">
        <v>1</v>
      </c>
    </row>
    <row r="365" spans="1:4" x14ac:dyDescent="0.45">
      <c r="A365" s="29">
        <v>45816</v>
      </c>
      <c r="B365" s="13">
        <v>7290019274483</v>
      </c>
      <c r="C365" t="s">
        <v>22</v>
      </c>
      <c r="D365">
        <v>2</v>
      </c>
    </row>
    <row r="366" spans="1:4" x14ac:dyDescent="0.45">
      <c r="A366" s="29">
        <v>45816</v>
      </c>
      <c r="B366" s="13">
        <v>7290019274490</v>
      </c>
      <c r="C366" t="s">
        <v>22</v>
      </c>
      <c r="D366">
        <v>1</v>
      </c>
    </row>
    <row r="367" spans="1:4" x14ac:dyDescent="0.45">
      <c r="A367" s="29">
        <v>45816</v>
      </c>
      <c r="B367" s="13">
        <v>7290019611325</v>
      </c>
      <c r="C367" t="s">
        <v>22</v>
      </c>
      <c r="D367">
        <v>1</v>
      </c>
    </row>
    <row r="368" spans="1:4" x14ac:dyDescent="0.45">
      <c r="A368" s="29">
        <v>45816</v>
      </c>
      <c r="B368" s="13">
        <v>7290103702489</v>
      </c>
      <c r="C368" t="s">
        <v>22</v>
      </c>
      <c r="D368">
        <v>5</v>
      </c>
    </row>
    <row r="369" spans="1:4" x14ac:dyDescent="0.45">
      <c r="A369" s="29">
        <v>45816</v>
      </c>
      <c r="B369" s="13">
        <v>7290103703370</v>
      </c>
      <c r="C369" t="s">
        <v>22</v>
      </c>
      <c r="D369">
        <v>4</v>
      </c>
    </row>
    <row r="370" spans="1:4" x14ac:dyDescent="0.45">
      <c r="A370" s="29">
        <v>45816</v>
      </c>
      <c r="B370" s="13">
        <v>7290103704155</v>
      </c>
      <c r="C370" t="s">
        <v>22</v>
      </c>
      <c r="D370">
        <v>4</v>
      </c>
    </row>
    <row r="371" spans="1:4" x14ac:dyDescent="0.45">
      <c r="A371" s="29">
        <v>45816</v>
      </c>
      <c r="B371" s="13">
        <v>7290103704179</v>
      </c>
      <c r="C371" t="s">
        <v>22</v>
      </c>
      <c r="D371">
        <v>4</v>
      </c>
    </row>
    <row r="372" spans="1:4" x14ac:dyDescent="0.45">
      <c r="A372" s="29">
        <v>45816</v>
      </c>
      <c r="B372" s="13">
        <v>7290103704919</v>
      </c>
      <c r="C372" t="s">
        <v>22</v>
      </c>
      <c r="D372">
        <v>5</v>
      </c>
    </row>
    <row r="373" spans="1:4" x14ac:dyDescent="0.45">
      <c r="A373" s="29">
        <v>45816</v>
      </c>
      <c r="B373" s="13">
        <v>7290107280099</v>
      </c>
      <c r="C373" t="s">
        <v>22</v>
      </c>
      <c r="D373">
        <v>1</v>
      </c>
    </row>
    <row r="374" spans="1:4" x14ac:dyDescent="0.45">
      <c r="A374" s="29">
        <v>45816</v>
      </c>
      <c r="B374" s="13">
        <v>7290108351699</v>
      </c>
      <c r="C374" t="s">
        <v>22</v>
      </c>
      <c r="D374">
        <v>3</v>
      </c>
    </row>
    <row r="375" spans="1:4" x14ac:dyDescent="0.45">
      <c r="A375" s="29">
        <v>45816</v>
      </c>
      <c r="B375" s="13">
        <v>7290108352702</v>
      </c>
      <c r="C375" t="s">
        <v>22</v>
      </c>
      <c r="D375">
        <v>1</v>
      </c>
    </row>
    <row r="376" spans="1:4" x14ac:dyDescent="0.45">
      <c r="A376" s="29">
        <v>45816</v>
      </c>
      <c r="B376" s="13">
        <v>7290108356298</v>
      </c>
      <c r="C376" t="s">
        <v>22</v>
      </c>
      <c r="D376">
        <v>2</v>
      </c>
    </row>
    <row r="377" spans="1:4" x14ac:dyDescent="0.45">
      <c r="A377" s="29">
        <v>45816</v>
      </c>
      <c r="B377" s="13">
        <v>7290108356700</v>
      </c>
      <c r="C377" t="s">
        <v>22</v>
      </c>
      <c r="D377">
        <v>0</v>
      </c>
    </row>
    <row r="378" spans="1:4" x14ac:dyDescent="0.45">
      <c r="A378" s="29">
        <v>45816</v>
      </c>
      <c r="B378" s="13">
        <v>7290108356717</v>
      </c>
      <c r="C378" t="s">
        <v>22</v>
      </c>
      <c r="D378">
        <v>2</v>
      </c>
    </row>
    <row r="379" spans="1:4" x14ac:dyDescent="0.45">
      <c r="A379" s="29">
        <v>45816</v>
      </c>
      <c r="B379" s="13">
        <v>7290108356724</v>
      </c>
      <c r="C379" t="s">
        <v>22</v>
      </c>
      <c r="D379">
        <v>1</v>
      </c>
    </row>
    <row r="380" spans="1:4" x14ac:dyDescent="0.45">
      <c r="A380" s="29">
        <v>45816</v>
      </c>
      <c r="B380" s="13">
        <v>7290108357240</v>
      </c>
      <c r="C380" t="s">
        <v>22</v>
      </c>
      <c r="D380">
        <v>2</v>
      </c>
    </row>
    <row r="381" spans="1:4" x14ac:dyDescent="0.45">
      <c r="A381" s="29">
        <v>45816</v>
      </c>
      <c r="B381" s="13">
        <v>7290108357288</v>
      </c>
      <c r="C381" t="s">
        <v>22</v>
      </c>
      <c r="D381">
        <v>5</v>
      </c>
    </row>
    <row r="382" spans="1:4" x14ac:dyDescent="0.45">
      <c r="A382" s="29">
        <v>45816</v>
      </c>
      <c r="B382" s="13">
        <v>7290108357844</v>
      </c>
      <c r="C382" t="s">
        <v>22</v>
      </c>
      <c r="D382">
        <v>2</v>
      </c>
    </row>
    <row r="383" spans="1:4" x14ac:dyDescent="0.45">
      <c r="A383" s="29">
        <v>45816</v>
      </c>
      <c r="B383" s="13">
        <v>7290108359077</v>
      </c>
      <c r="C383" t="s">
        <v>22</v>
      </c>
      <c r="D383">
        <v>1</v>
      </c>
    </row>
    <row r="384" spans="1:4" x14ac:dyDescent="0.45">
      <c r="A384" s="29">
        <v>45816</v>
      </c>
      <c r="B384" s="13">
        <v>7290108359176</v>
      </c>
      <c r="C384" t="s">
        <v>22</v>
      </c>
      <c r="D384">
        <v>0</v>
      </c>
    </row>
    <row r="385" spans="1:4" x14ac:dyDescent="0.45">
      <c r="A385" s="29">
        <v>45816</v>
      </c>
      <c r="B385" s="13">
        <v>7290108359190</v>
      </c>
      <c r="C385" t="s">
        <v>22</v>
      </c>
      <c r="D385">
        <v>1</v>
      </c>
    </row>
    <row r="386" spans="1:4" x14ac:dyDescent="0.45">
      <c r="A386" s="29">
        <v>45816</v>
      </c>
      <c r="B386" s="13">
        <v>8001090184375</v>
      </c>
      <c r="C386" t="s">
        <v>22</v>
      </c>
      <c r="D386">
        <v>3</v>
      </c>
    </row>
    <row r="387" spans="1:4" x14ac:dyDescent="0.45">
      <c r="A387" s="29">
        <v>45816</v>
      </c>
      <c r="B387" s="13">
        <v>8001090184412</v>
      </c>
      <c r="C387" t="s">
        <v>22</v>
      </c>
      <c r="D387">
        <v>4</v>
      </c>
    </row>
    <row r="388" spans="1:4" x14ac:dyDescent="0.45">
      <c r="A388" s="29">
        <v>45816</v>
      </c>
      <c r="B388" s="13">
        <v>8001841625362</v>
      </c>
      <c r="C388" t="s">
        <v>22</v>
      </c>
      <c r="D388">
        <v>2</v>
      </c>
    </row>
    <row r="389" spans="1:4" x14ac:dyDescent="0.45">
      <c r="A389" s="29">
        <v>45816</v>
      </c>
      <c r="B389" s="13">
        <v>8001841893990</v>
      </c>
      <c r="C389" t="s">
        <v>22</v>
      </c>
      <c r="D389">
        <v>1</v>
      </c>
    </row>
    <row r="390" spans="1:4" x14ac:dyDescent="0.45">
      <c r="A390" s="29">
        <v>45816</v>
      </c>
      <c r="B390" s="13">
        <v>8006540429327</v>
      </c>
      <c r="C390" t="s">
        <v>22</v>
      </c>
      <c r="D390">
        <v>4</v>
      </c>
    </row>
    <row r="391" spans="1:4" x14ac:dyDescent="0.45">
      <c r="A391" s="29">
        <v>45816</v>
      </c>
      <c r="B391" s="13">
        <v>8700216163811</v>
      </c>
      <c r="C391" t="s">
        <v>22</v>
      </c>
      <c r="D391">
        <v>4</v>
      </c>
    </row>
    <row r="392" spans="1:4" x14ac:dyDescent="0.45">
      <c r="A392" s="29">
        <v>45816</v>
      </c>
      <c r="B392" s="13">
        <v>8700216236034</v>
      </c>
      <c r="C392" t="s">
        <v>22</v>
      </c>
      <c r="D392">
        <v>3</v>
      </c>
    </row>
    <row r="393" spans="1:4" x14ac:dyDescent="0.45">
      <c r="A393" s="29">
        <v>45816</v>
      </c>
      <c r="B393" s="13">
        <v>8700216236751</v>
      </c>
      <c r="C393" t="s">
        <v>22</v>
      </c>
      <c r="D393">
        <v>1</v>
      </c>
    </row>
    <row r="394" spans="1:4" x14ac:dyDescent="0.45">
      <c r="A394" s="29">
        <v>45817</v>
      </c>
      <c r="B394" s="13">
        <v>4084500088917</v>
      </c>
      <c r="C394" t="s">
        <v>22</v>
      </c>
      <c r="D394">
        <v>4</v>
      </c>
    </row>
    <row r="395" spans="1:4" x14ac:dyDescent="0.45">
      <c r="A395" s="29">
        <v>45817</v>
      </c>
      <c r="B395" s="13">
        <v>4084500853836</v>
      </c>
      <c r="C395" t="s">
        <v>22</v>
      </c>
      <c r="D395">
        <v>5</v>
      </c>
    </row>
    <row r="396" spans="1:4" x14ac:dyDescent="0.45">
      <c r="A396" s="29">
        <v>45817</v>
      </c>
      <c r="B396" s="13">
        <v>7290000286921</v>
      </c>
      <c r="C396" t="s">
        <v>22</v>
      </c>
      <c r="D396">
        <v>2</v>
      </c>
    </row>
    <row r="397" spans="1:4" x14ac:dyDescent="0.45">
      <c r="A397" s="29">
        <v>45817</v>
      </c>
      <c r="B397" s="13">
        <v>7290000288024</v>
      </c>
      <c r="C397" t="s">
        <v>22</v>
      </c>
      <c r="D397">
        <v>5</v>
      </c>
    </row>
    <row r="398" spans="1:4" x14ac:dyDescent="0.45">
      <c r="A398" s="29">
        <v>45817</v>
      </c>
      <c r="B398" s="13">
        <v>7290000288307</v>
      </c>
      <c r="C398" t="s">
        <v>22</v>
      </c>
      <c r="D398">
        <v>0</v>
      </c>
    </row>
    <row r="399" spans="1:4" x14ac:dyDescent="0.45">
      <c r="A399" s="29">
        <v>45817</v>
      </c>
      <c r="B399" s="13">
        <v>7290000288659</v>
      </c>
      <c r="C399" t="s">
        <v>22</v>
      </c>
      <c r="D399">
        <v>0</v>
      </c>
    </row>
    <row r="400" spans="1:4" x14ac:dyDescent="0.45">
      <c r="A400" s="29">
        <v>45817</v>
      </c>
      <c r="B400" s="13">
        <v>7290000292915</v>
      </c>
      <c r="C400" t="s">
        <v>22</v>
      </c>
      <c r="D400">
        <v>2</v>
      </c>
    </row>
    <row r="401" spans="1:4" x14ac:dyDescent="0.45">
      <c r="A401" s="29">
        <v>45817</v>
      </c>
      <c r="B401" s="13">
        <v>7290000294780</v>
      </c>
      <c r="C401" t="s">
        <v>22</v>
      </c>
      <c r="D401">
        <v>5</v>
      </c>
    </row>
    <row r="402" spans="1:4" x14ac:dyDescent="0.45">
      <c r="A402" s="29">
        <v>45817</v>
      </c>
      <c r="B402" s="13">
        <v>7290000295367</v>
      </c>
      <c r="C402" t="s">
        <v>22</v>
      </c>
      <c r="D402">
        <v>2</v>
      </c>
    </row>
    <row r="403" spans="1:4" x14ac:dyDescent="0.45">
      <c r="A403" s="29">
        <v>45817</v>
      </c>
      <c r="B403" s="13">
        <v>7290000295541</v>
      </c>
      <c r="C403" t="s">
        <v>22</v>
      </c>
      <c r="D403">
        <v>1</v>
      </c>
    </row>
    <row r="404" spans="1:4" x14ac:dyDescent="0.45">
      <c r="A404" s="29">
        <v>45817</v>
      </c>
      <c r="B404" s="13">
        <v>7290001246610</v>
      </c>
      <c r="C404" t="s">
        <v>22</v>
      </c>
      <c r="D404">
        <v>2</v>
      </c>
    </row>
    <row r="405" spans="1:4" x14ac:dyDescent="0.45">
      <c r="A405" s="29">
        <v>45817</v>
      </c>
      <c r="B405" s="13">
        <v>7290005424700</v>
      </c>
      <c r="C405" t="s">
        <v>22</v>
      </c>
      <c r="D405">
        <v>2</v>
      </c>
    </row>
    <row r="406" spans="1:4" x14ac:dyDescent="0.45">
      <c r="A406" s="29">
        <v>45817</v>
      </c>
      <c r="B406" s="13">
        <v>7290005425110</v>
      </c>
      <c r="C406" t="s">
        <v>22</v>
      </c>
      <c r="D406">
        <v>1</v>
      </c>
    </row>
    <row r="407" spans="1:4" x14ac:dyDescent="0.45">
      <c r="A407" s="29">
        <v>45817</v>
      </c>
      <c r="B407" s="13">
        <v>7290005425196</v>
      </c>
      <c r="C407" t="s">
        <v>22</v>
      </c>
      <c r="D407">
        <v>2</v>
      </c>
    </row>
    <row r="408" spans="1:4" x14ac:dyDescent="0.45">
      <c r="A408" s="29">
        <v>45817</v>
      </c>
      <c r="B408" s="13">
        <v>7290012116025</v>
      </c>
      <c r="C408" t="s">
        <v>22</v>
      </c>
      <c r="D408">
        <v>1</v>
      </c>
    </row>
    <row r="409" spans="1:4" x14ac:dyDescent="0.45">
      <c r="A409" s="29">
        <v>45817</v>
      </c>
      <c r="B409" s="13">
        <v>7290012117534</v>
      </c>
      <c r="C409" t="s">
        <v>22</v>
      </c>
      <c r="D409">
        <v>2</v>
      </c>
    </row>
    <row r="410" spans="1:4" x14ac:dyDescent="0.45">
      <c r="A410" s="29">
        <v>45817</v>
      </c>
      <c r="B410" s="13">
        <v>7290013268204</v>
      </c>
      <c r="C410" t="s">
        <v>22</v>
      </c>
      <c r="D410">
        <v>0</v>
      </c>
    </row>
    <row r="411" spans="1:4" x14ac:dyDescent="0.45">
      <c r="A411" s="29">
        <v>45817</v>
      </c>
      <c r="B411" s="13">
        <v>7290013268891</v>
      </c>
      <c r="C411" t="s">
        <v>22</v>
      </c>
      <c r="D411">
        <v>2</v>
      </c>
    </row>
    <row r="412" spans="1:4" x14ac:dyDescent="0.45">
      <c r="A412" s="29">
        <v>45817</v>
      </c>
      <c r="B412" s="13">
        <v>7290013269003</v>
      </c>
      <c r="C412" t="s">
        <v>22</v>
      </c>
      <c r="D412">
        <v>1</v>
      </c>
    </row>
    <row r="413" spans="1:4" x14ac:dyDescent="0.45">
      <c r="A413" s="29">
        <v>45817</v>
      </c>
      <c r="B413" s="13">
        <v>7290014397453</v>
      </c>
      <c r="C413" t="s">
        <v>22</v>
      </c>
      <c r="D413">
        <v>1</v>
      </c>
    </row>
    <row r="414" spans="1:4" x14ac:dyDescent="0.45">
      <c r="A414" s="29">
        <v>45817</v>
      </c>
      <c r="B414" s="13">
        <v>7290019274483</v>
      </c>
      <c r="C414" t="s">
        <v>22</v>
      </c>
      <c r="D414">
        <v>1</v>
      </c>
    </row>
    <row r="415" spans="1:4" x14ac:dyDescent="0.45">
      <c r="A415" s="29">
        <v>45817</v>
      </c>
      <c r="B415" s="13">
        <v>7290019274490</v>
      </c>
      <c r="C415" t="s">
        <v>22</v>
      </c>
      <c r="D415">
        <v>1</v>
      </c>
    </row>
    <row r="416" spans="1:4" x14ac:dyDescent="0.45">
      <c r="A416" s="29">
        <v>45817</v>
      </c>
      <c r="B416" s="13">
        <v>7290019611325</v>
      </c>
      <c r="C416" t="s">
        <v>22</v>
      </c>
      <c r="D416">
        <v>1</v>
      </c>
    </row>
    <row r="417" spans="1:4" x14ac:dyDescent="0.45">
      <c r="A417" s="29">
        <v>45817</v>
      </c>
      <c r="B417" s="13">
        <v>7290103702489</v>
      </c>
      <c r="C417" t="s">
        <v>22</v>
      </c>
      <c r="D417">
        <v>5</v>
      </c>
    </row>
    <row r="418" spans="1:4" x14ac:dyDescent="0.45">
      <c r="A418" s="29">
        <v>45817</v>
      </c>
      <c r="B418" s="13">
        <v>7290103703370</v>
      </c>
      <c r="C418" t="s">
        <v>22</v>
      </c>
      <c r="D418">
        <v>4</v>
      </c>
    </row>
    <row r="419" spans="1:4" x14ac:dyDescent="0.45">
      <c r="A419" s="29">
        <v>45817</v>
      </c>
      <c r="B419" s="13">
        <v>7290103704155</v>
      </c>
      <c r="C419" t="s">
        <v>22</v>
      </c>
      <c r="D419">
        <v>5</v>
      </c>
    </row>
    <row r="420" spans="1:4" x14ac:dyDescent="0.45">
      <c r="A420" s="29">
        <v>45817</v>
      </c>
      <c r="B420" s="13">
        <v>7290103704179</v>
      </c>
      <c r="C420" t="s">
        <v>22</v>
      </c>
      <c r="D420">
        <v>5</v>
      </c>
    </row>
    <row r="421" spans="1:4" x14ac:dyDescent="0.45">
      <c r="A421" s="29">
        <v>45817</v>
      </c>
      <c r="B421" s="13">
        <v>7290103704919</v>
      </c>
      <c r="C421" t="s">
        <v>22</v>
      </c>
      <c r="D421">
        <v>5</v>
      </c>
    </row>
    <row r="422" spans="1:4" x14ac:dyDescent="0.45">
      <c r="A422" s="29">
        <v>45817</v>
      </c>
      <c r="B422" s="13">
        <v>7290107280099</v>
      </c>
      <c r="C422" t="s">
        <v>22</v>
      </c>
      <c r="D422">
        <v>1</v>
      </c>
    </row>
    <row r="423" spans="1:4" x14ac:dyDescent="0.45">
      <c r="A423" s="29">
        <v>45817</v>
      </c>
      <c r="B423" s="13">
        <v>7290108351699</v>
      </c>
      <c r="C423" t="s">
        <v>22</v>
      </c>
      <c r="D423">
        <v>3</v>
      </c>
    </row>
    <row r="424" spans="1:4" x14ac:dyDescent="0.45">
      <c r="A424" s="29">
        <v>45817</v>
      </c>
      <c r="B424" s="13">
        <v>7290108352702</v>
      </c>
      <c r="C424" t="s">
        <v>22</v>
      </c>
      <c r="D424">
        <v>0</v>
      </c>
    </row>
    <row r="425" spans="1:4" x14ac:dyDescent="0.45">
      <c r="A425" s="29">
        <v>45817</v>
      </c>
      <c r="B425" s="13">
        <v>7290108356298</v>
      </c>
      <c r="C425" t="s">
        <v>22</v>
      </c>
      <c r="D425">
        <v>2</v>
      </c>
    </row>
    <row r="426" spans="1:4" x14ac:dyDescent="0.45">
      <c r="A426" s="29">
        <v>45817</v>
      </c>
      <c r="B426" s="13">
        <v>7290108356700</v>
      </c>
      <c r="C426" t="s">
        <v>22</v>
      </c>
      <c r="D426">
        <v>1</v>
      </c>
    </row>
    <row r="427" spans="1:4" x14ac:dyDescent="0.45">
      <c r="A427" s="29">
        <v>45817</v>
      </c>
      <c r="B427" s="13">
        <v>7290108356717</v>
      </c>
      <c r="C427" t="s">
        <v>22</v>
      </c>
      <c r="D427">
        <v>3</v>
      </c>
    </row>
    <row r="428" spans="1:4" x14ac:dyDescent="0.45">
      <c r="A428" s="29">
        <v>45817</v>
      </c>
      <c r="B428" s="13">
        <v>7290108356724</v>
      </c>
      <c r="C428" t="s">
        <v>22</v>
      </c>
      <c r="D428">
        <v>3</v>
      </c>
    </row>
    <row r="429" spans="1:4" x14ac:dyDescent="0.45">
      <c r="A429" s="29">
        <v>45817</v>
      </c>
      <c r="B429" s="13">
        <v>7290108357240</v>
      </c>
      <c r="C429" t="s">
        <v>22</v>
      </c>
      <c r="D429">
        <v>2</v>
      </c>
    </row>
    <row r="430" spans="1:4" x14ac:dyDescent="0.45">
      <c r="A430" s="29">
        <v>45817</v>
      </c>
      <c r="B430" s="13">
        <v>7290108357288</v>
      </c>
      <c r="C430" t="s">
        <v>22</v>
      </c>
      <c r="D430">
        <v>5</v>
      </c>
    </row>
    <row r="431" spans="1:4" x14ac:dyDescent="0.45">
      <c r="A431" s="29">
        <v>45817</v>
      </c>
      <c r="B431" s="13">
        <v>7290108357844</v>
      </c>
      <c r="C431" t="s">
        <v>22</v>
      </c>
      <c r="D431">
        <v>1</v>
      </c>
    </row>
    <row r="432" spans="1:4" x14ac:dyDescent="0.45">
      <c r="A432" s="29">
        <v>45817</v>
      </c>
      <c r="B432" s="13">
        <v>7290108359077</v>
      </c>
      <c r="C432" t="s">
        <v>22</v>
      </c>
      <c r="D432">
        <v>1</v>
      </c>
    </row>
    <row r="433" spans="1:4" x14ac:dyDescent="0.45">
      <c r="A433" s="29">
        <v>45817</v>
      </c>
      <c r="B433" s="13">
        <v>7290108359176</v>
      </c>
      <c r="C433" t="s">
        <v>22</v>
      </c>
      <c r="D433">
        <v>1</v>
      </c>
    </row>
    <row r="434" spans="1:4" x14ac:dyDescent="0.45">
      <c r="A434" s="29">
        <v>45817</v>
      </c>
      <c r="B434" s="13">
        <v>7290108359190</v>
      </c>
      <c r="C434" t="s">
        <v>22</v>
      </c>
      <c r="D434">
        <v>1</v>
      </c>
    </row>
    <row r="435" spans="1:4" x14ac:dyDescent="0.45">
      <c r="A435" s="29">
        <v>45817</v>
      </c>
      <c r="B435" s="13">
        <v>8001090184375</v>
      </c>
      <c r="C435" t="s">
        <v>22</v>
      </c>
      <c r="D435">
        <v>0</v>
      </c>
    </row>
    <row r="436" spans="1:4" x14ac:dyDescent="0.45">
      <c r="A436" s="29">
        <v>45817</v>
      </c>
      <c r="B436" s="13">
        <v>8001090184412</v>
      </c>
      <c r="C436" t="s">
        <v>22</v>
      </c>
      <c r="D436">
        <v>4</v>
      </c>
    </row>
    <row r="437" spans="1:4" x14ac:dyDescent="0.45">
      <c r="A437" s="29">
        <v>45817</v>
      </c>
      <c r="B437" s="13">
        <v>8001841625362</v>
      </c>
      <c r="C437" t="s">
        <v>22</v>
      </c>
      <c r="D437">
        <v>2</v>
      </c>
    </row>
    <row r="438" spans="1:4" x14ac:dyDescent="0.45">
      <c r="A438" s="29">
        <v>45817</v>
      </c>
      <c r="B438" s="13">
        <v>8001841893990</v>
      </c>
      <c r="C438" t="s">
        <v>22</v>
      </c>
      <c r="D438">
        <v>0</v>
      </c>
    </row>
    <row r="439" spans="1:4" x14ac:dyDescent="0.45">
      <c r="A439" s="29">
        <v>45817</v>
      </c>
      <c r="B439" s="13">
        <v>8006540429327</v>
      </c>
      <c r="C439" t="s">
        <v>22</v>
      </c>
      <c r="D439">
        <v>5</v>
      </c>
    </row>
    <row r="440" spans="1:4" x14ac:dyDescent="0.45">
      <c r="A440" s="29">
        <v>45817</v>
      </c>
      <c r="B440" s="13">
        <v>8700216163811</v>
      </c>
      <c r="C440" t="s">
        <v>22</v>
      </c>
      <c r="D440">
        <v>5</v>
      </c>
    </row>
    <row r="441" spans="1:4" x14ac:dyDescent="0.45">
      <c r="A441" s="29">
        <v>45817</v>
      </c>
      <c r="B441" s="13">
        <v>8700216236034</v>
      </c>
      <c r="C441" t="s">
        <v>22</v>
      </c>
      <c r="D441">
        <v>2</v>
      </c>
    </row>
    <row r="442" spans="1:4" x14ac:dyDescent="0.45">
      <c r="A442" s="29">
        <v>45817</v>
      </c>
      <c r="B442" s="13">
        <v>8700216236751</v>
      </c>
      <c r="C442" t="s">
        <v>22</v>
      </c>
      <c r="D442">
        <v>1</v>
      </c>
    </row>
    <row r="443" spans="1:4" x14ac:dyDescent="0.45">
      <c r="A443" s="29">
        <v>45818</v>
      </c>
      <c r="B443" s="13">
        <v>4084500088917</v>
      </c>
      <c r="C443" t="s">
        <v>22</v>
      </c>
      <c r="D443">
        <v>6</v>
      </c>
    </row>
    <row r="444" spans="1:4" x14ac:dyDescent="0.45">
      <c r="A444" s="29">
        <v>45818</v>
      </c>
      <c r="B444" s="13">
        <v>4084500853836</v>
      </c>
      <c r="C444" t="s">
        <v>22</v>
      </c>
      <c r="D444">
        <v>6</v>
      </c>
    </row>
    <row r="445" spans="1:4" x14ac:dyDescent="0.45">
      <c r="A445" s="29">
        <v>45818</v>
      </c>
      <c r="B445" s="13">
        <v>7290000286921</v>
      </c>
      <c r="C445" t="s">
        <v>22</v>
      </c>
      <c r="D445">
        <v>1</v>
      </c>
    </row>
    <row r="446" spans="1:4" x14ac:dyDescent="0.45">
      <c r="A446" s="29">
        <v>45818</v>
      </c>
      <c r="B446" s="13">
        <v>7290000288024</v>
      </c>
      <c r="C446" t="s">
        <v>22</v>
      </c>
      <c r="D446">
        <v>6</v>
      </c>
    </row>
    <row r="447" spans="1:4" x14ac:dyDescent="0.45">
      <c r="A447" s="29">
        <v>45818</v>
      </c>
      <c r="B447" s="13">
        <v>7290000288307</v>
      </c>
      <c r="C447" t="s">
        <v>22</v>
      </c>
      <c r="D447">
        <v>0</v>
      </c>
    </row>
    <row r="448" spans="1:4" x14ac:dyDescent="0.45">
      <c r="A448" s="29">
        <v>45818</v>
      </c>
      <c r="B448" s="13">
        <v>7290000288659</v>
      </c>
      <c r="C448" t="s">
        <v>22</v>
      </c>
      <c r="D448">
        <v>0</v>
      </c>
    </row>
    <row r="449" spans="1:4" x14ac:dyDescent="0.45">
      <c r="A449" s="29">
        <v>45818</v>
      </c>
      <c r="B449" s="13">
        <v>7290000292915</v>
      </c>
      <c r="C449" t="s">
        <v>22</v>
      </c>
      <c r="D449">
        <v>3</v>
      </c>
    </row>
    <row r="450" spans="1:4" x14ac:dyDescent="0.45">
      <c r="A450" s="29">
        <v>45818</v>
      </c>
      <c r="B450" s="13">
        <v>7290000294780</v>
      </c>
      <c r="C450" t="s">
        <v>22</v>
      </c>
      <c r="D450">
        <v>6</v>
      </c>
    </row>
    <row r="451" spans="1:4" x14ac:dyDescent="0.45">
      <c r="A451" s="29">
        <v>45818</v>
      </c>
      <c r="B451" s="13">
        <v>7290000295367</v>
      </c>
      <c r="C451" t="s">
        <v>22</v>
      </c>
      <c r="D451">
        <v>2</v>
      </c>
    </row>
    <row r="452" spans="1:4" x14ac:dyDescent="0.45">
      <c r="A452" s="29">
        <v>45818</v>
      </c>
      <c r="B452" s="13">
        <v>7290000295541</v>
      </c>
      <c r="C452" t="s">
        <v>22</v>
      </c>
      <c r="D452">
        <v>1</v>
      </c>
    </row>
    <row r="453" spans="1:4" x14ac:dyDescent="0.45">
      <c r="A453" s="29">
        <v>45818</v>
      </c>
      <c r="B453" s="13">
        <v>7290001246610</v>
      </c>
      <c r="C453" t="s">
        <v>22</v>
      </c>
      <c r="D453">
        <v>2</v>
      </c>
    </row>
    <row r="454" spans="1:4" x14ac:dyDescent="0.45">
      <c r="A454" s="29">
        <v>45818</v>
      </c>
      <c r="B454" s="13">
        <v>7290005424700</v>
      </c>
      <c r="C454" t="s">
        <v>22</v>
      </c>
      <c r="D454">
        <v>2</v>
      </c>
    </row>
    <row r="455" spans="1:4" x14ac:dyDescent="0.45">
      <c r="A455" s="29">
        <v>45818</v>
      </c>
      <c r="B455" s="13">
        <v>7290005425110</v>
      </c>
      <c r="C455" t="s">
        <v>22</v>
      </c>
      <c r="D455">
        <v>1</v>
      </c>
    </row>
    <row r="456" spans="1:4" x14ac:dyDescent="0.45">
      <c r="A456" s="29">
        <v>45818</v>
      </c>
      <c r="B456" s="13">
        <v>7290005425196</v>
      </c>
      <c r="C456" t="s">
        <v>22</v>
      </c>
      <c r="D456">
        <v>2</v>
      </c>
    </row>
    <row r="457" spans="1:4" x14ac:dyDescent="0.45">
      <c r="A457" s="29">
        <v>45818</v>
      </c>
      <c r="B457" s="13">
        <v>7290012116025</v>
      </c>
      <c r="C457" t="s">
        <v>22</v>
      </c>
      <c r="D457">
        <v>1</v>
      </c>
    </row>
    <row r="458" spans="1:4" x14ac:dyDescent="0.45">
      <c r="A458" s="29">
        <v>45818</v>
      </c>
      <c r="B458" s="13">
        <v>7290012117534</v>
      </c>
      <c r="C458" t="s">
        <v>22</v>
      </c>
      <c r="D458">
        <v>1</v>
      </c>
    </row>
    <row r="459" spans="1:4" x14ac:dyDescent="0.45">
      <c r="A459" s="29">
        <v>45818</v>
      </c>
      <c r="B459" s="13">
        <v>7290013268204</v>
      </c>
      <c r="C459" t="s">
        <v>22</v>
      </c>
      <c r="D459">
        <v>0</v>
      </c>
    </row>
    <row r="460" spans="1:4" x14ac:dyDescent="0.45">
      <c r="A460" s="29">
        <v>45818</v>
      </c>
      <c r="B460" s="13">
        <v>7290013268891</v>
      </c>
      <c r="C460" t="s">
        <v>22</v>
      </c>
      <c r="D460">
        <v>2</v>
      </c>
    </row>
    <row r="461" spans="1:4" x14ac:dyDescent="0.45">
      <c r="A461" s="29">
        <v>45818</v>
      </c>
      <c r="B461" s="13">
        <v>7290013269003</v>
      </c>
      <c r="C461" t="s">
        <v>22</v>
      </c>
      <c r="D461">
        <v>1</v>
      </c>
    </row>
    <row r="462" spans="1:4" x14ac:dyDescent="0.45">
      <c r="A462" s="29">
        <v>45818</v>
      </c>
      <c r="B462" s="13">
        <v>7290014397453</v>
      </c>
      <c r="C462" t="s">
        <v>22</v>
      </c>
      <c r="D462">
        <v>2</v>
      </c>
    </row>
    <row r="463" spans="1:4" x14ac:dyDescent="0.45">
      <c r="A463" s="29">
        <v>45818</v>
      </c>
      <c r="B463" s="13">
        <v>7290019274483</v>
      </c>
      <c r="C463" t="s">
        <v>22</v>
      </c>
      <c r="D463">
        <v>2</v>
      </c>
    </row>
    <row r="464" spans="1:4" x14ac:dyDescent="0.45">
      <c r="A464" s="29">
        <v>45818</v>
      </c>
      <c r="B464" s="13">
        <v>7290019274490</v>
      </c>
      <c r="C464" t="s">
        <v>22</v>
      </c>
      <c r="D464">
        <v>1</v>
      </c>
    </row>
    <row r="465" spans="1:4" x14ac:dyDescent="0.45">
      <c r="A465" s="29">
        <v>45818</v>
      </c>
      <c r="B465" s="13">
        <v>7290019611325</v>
      </c>
      <c r="C465" t="s">
        <v>22</v>
      </c>
      <c r="D465">
        <v>1</v>
      </c>
    </row>
    <row r="466" spans="1:4" x14ac:dyDescent="0.45">
      <c r="A466" s="29">
        <v>45818</v>
      </c>
      <c r="B466" s="13">
        <v>7290103702489</v>
      </c>
      <c r="C466" t="s">
        <v>22</v>
      </c>
      <c r="D466">
        <v>8</v>
      </c>
    </row>
    <row r="467" spans="1:4" x14ac:dyDescent="0.45">
      <c r="A467" s="29">
        <v>45818</v>
      </c>
      <c r="B467" s="13">
        <v>7290103703370</v>
      </c>
      <c r="C467" t="s">
        <v>22</v>
      </c>
      <c r="D467">
        <v>8</v>
      </c>
    </row>
    <row r="468" spans="1:4" x14ac:dyDescent="0.45">
      <c r="A468" s="29">
        <v>45818</v>
      </c>
      <c r="B468" s="13">
        <v>7290103704155</v>
      </c>
      <c r="C468" t="s">
        <v>22</v>
      </c>
      <c r="D468">
        <v>8</v>
      </c>
    </row>
    <row r="469" spans="1:4" x14ac:dyDescent="0.45">
      <c r="A469" s="29">
        <v>45818</v>
      </c>
      <c r="B469" s="13">
        <v>7290103704179</v>
      </c>
      <c r="C469" t="s">
        <v>22</v>
      </c>
      <c r="D469">
        <v>6</v>
      </c>
    </row>
    <row r="470" spans="1:4" x14ac:dyDescent="0.45">
      <c r="A470" s="29">
        <v>45818</v>
      </c>
      <c r="B470" s="13">
        <v>7290103704919</v>
      </c>
      <c r="C470" t="s">
        <v>22</v>
      </c>
      <c r="D470">
        <v>6</v>
      </c>
    </row>
    <row r="471" spans="1:4" x14ac:dyDescent="0.45">
      <c r="A471" s="29">
        <v>45818</v>
      </c>
      <c r="B471" s="13">
        <v>7290107280099</v>
      </c>
      <c r="C471" t="s">
        <v>22</v>
      </c>
      <c r="D471">
        <v>1</v>
      </c>
    </row>
    <row r="472" spans="1:4" x14ac:dyDescent="0.45">
      <c r="A472" s="29">
        <v>45818</v>
      </c>
      <c r="B472" s="13">
        <v>7290108351699</v>
      </c>
      <c r="C472" t="s">
        <v>22</v>
      </c>
      <c r="D472">
        <v>3</v>
      </c>
    </row>
    <row r="473" spans="1:4" x14ac:dyDescent="0.45">
      <c r="A473" s="29">
        <v>45818</v>
      </c>
      <c r="B473" s="13">
        <v>7290108352702</v>
      </c>
      <c r="C473" t="s">
        <v>22</v>
      </c>
      <c r="D473">
        <v>0</v>
      </c>
    </row>
    <row r="474" spans="1:4" x14ac:dyDescent="0.45">
      <c r="A474" s="29">
        <v>45818</v>
      </c>
      <c r="B474" s="13">
        <v>7290108356298</v>
      </c>
      <c r="C474" t="s">
        <v>22</v>
      </c>
      <c r="D474">
        <v>2</v>
      </c>
    </row>
    <row r="475" spans="1:4" x14ac:dyDescent="0.45">
      <c r="A475" s="29">
        <v>45818</v>
      </c>
      <c r="B475" s="13">
        <v>7290108356700</v>
      </c>
      <c r="C475" t="s">
        <v>22</v>
      </c>
      <c r="D475">
        <v>0</v>
      </c>
    </row>
    <row r="476" spans="1:4" x14ac:dyDescent="0.45">
      <c r="A476" s="29">
        <v>45818</v>
      </c>
      <c r="B476" s="13">
        <v>7290108356717</v>
      </c>
      <c r="C476" t="s">
        <v>22</v>
      </c>
      <c r="D476">
        <v>2</v>
      </c>
    </row>
    <row r="477" spans="1:4" x14ac:dyDescent="0.45">
      <c r="A477" s="29">
        <v>45818</v>
      </c>
      <c r="B477" s="13">
        <v>7290108356724</v>
      </c>
      <c r="C477" t="s">
        <v>22</v>
      </c>
      <c r="D477">
        <v>3</v>
      </c>
    </row>
    <row r="478" spans="1:4" x14ac:dyDescent="0.45">
      <c r="A478" s="29">
        <v>45818</v>
      </c>
      <c r="B478" s="13">
        <v>7290108357240</v>
      </c>
      <c r="C478" t="s">
        <v>22</v>
      </c>
      <c r="D478">
        <v>1</v>
      </c>
    </row>
    <row r="479" spans="1:4" x14ac:dyDescent="0.45">
      <c r="A479" s="29">
        <v>45818</v>
      </c>
      <c r="B479" s="13">
        <v>7290108357288</v>
      </c>
      <c r="C479" t="s">
        <v>22</v>
      </c>
      <c r="D479">
        <v>8</v>
      </c>
    </row>
    <row r="480" spans="1:4" x14ac:dyDescent="0.45">
      <c r="A480" s="29">
        <v>45818</v>
      </c>
      <c r="B480" s="13">
        <v>7290108357844</v>
      </c>
      <c r="C480" t="s">
        <v>22</v>
      </c>
      <c r="D480">
        <v>3</v>
      </c>
    </row>
    <row r="481" spans="1:4" x14ac:dyDescent="0.45">
      <c r="A481" s="29">
        <v>45818</v>
      </c>
      <c r="B481" s="13">
        <v>7290108359077</v>
      </c>
      <c r="C481" t="s">
        <v>22</v>
      </c>
      <c r="D481">
        <v>0</v>
      </c>
    </row>
    <row r="482" spans="1:4" x14ac:dyDescent="0.45">
      <c r="A482" s="29">
        <v>45818</v>
      </c>
      <c r="B482" s="13">
        <v>7290108359176</v>
      </c>
      <c r="C482" t="s">
        <v>22</v>
      </c>
      <c r="D482">
        <v>0</v>
      </c>
    </row>
    <row r="483" spans="1:4" x14ac:dyDescent="0.45">
      <c r="A483" s="29">
        <v>45818</v>
      </c>
      <c r="B483" s="13">
        <v>7290108359190</v>
      </c>
      <c r="C483" t="s">
        <v>22</v>
      </c>
      <c r="D483">
        <v>0</v>
      </c>
    </row>
    <row r="484" spans="1:4" x14ac:dyDescent="0.45">
      <c r="A484" s="29">
        <v>45818</v>
      </c>
      <c r="B484" s="13">
        <v>8001090184375</v>
      </c>
      <c r="C484" t="s">
        <v>22</v>
      </c>
      <c r="D484">
        <v>0</v>
      </c>
    </row>
    <row r="485" spans="1:4" x14ac:dyDescent="0.45">
      <c r="A485" s="29">
        <v>45818</v>
      </c>
      <c r="B485" s="13">
        <v>8001090184412</v>
      </c>
      <c r="C485" t="s">
        <v>22</v>
      </c>
      <c r="D485">
        <v>8</v>
      </c>
    </row>
    <row r="486" spans="1:4" x14ac:dyDescent="0.45">
      <c r="A486" s="29">
        <v>45818</v>
      </c>
      <c r="B486" s="13">
        <v>8001841625362</v>
      </c>
      <c r="C486" t="s">
        <v>22</v>
      </c>
      <c r="D486">
        <v>1</v>
      </c>
    </row>
    <row r="487" spans="1:4" x14ac:dyDescent="0.45">
      <c r="A487" s="29">
        <v>45818</v>
      </c>
      <c r="B487" s="13">
        <v>8001841893990</v>
      </c>
      <c r="C487" t="s">
        <v>22</v>
      </c>
      <c r="D487">
        <v>0</v>
      </c>
    </row>
    <row r="488" spans="1:4" x14ac:dyDescent="0.45">
      <c r="A488" s="29">
        <v>45818</v>
      </c>
      <c r="B488" s="13">
        <v>8006540429327</v>
      </c>
      <c r="C488" t="s">
        <v>22</v>
      </c>
      <c r="D488">
        <v>8</v>
      </c>
    </row>
    <row r="489" spans="1:4" x14ac:dyDescent="0.45">
      <c r="A489" s="29">
        <v>45818</v>
      </c>
      <c r="B489" s="13">
        <v>8700216163811</v>
      </c>
      <c r="C489" t="s">
        <v>22</v>
      </c>
      <c r="D489">
        <v>8</v>
      </c>
    </row>
    <row r="490" spans="1:4" x14ac:dyDescent="0.45">
      <c r="A490" s="29">
        <v>45818</v>
      </c>
      <c r="B490" s="13">
        <v>8700216236034</v>
      </c>
      <c r="C490" t="s">
        <v>22</v>
      </c>
      <c r="D490">
        <v>2</v>
      </c>
    </row>
    <row r="491" spans="1:4" x14ac:dyDescent="0.45">
      <c r="A491" s="29">
        <v>45818</v>
      </c>
      <c r="B491" s="13">
        <v>8700216236751</v>
      </c>
      <c r="C491" t="s">
        <v>22</v>
      </c>
      <c r="D491">
        <v>1</v>
      </c>
    </row>
    <row r="492" spans="1:4" x14ac:dyDescent="0.45">
      <c r="A492" s="29">
        <v>45819</v>
      </c>
      <c r="B492" s="13">
        <v>4084500088917</v>
      </c>
      <c r="C492" t="s">
        <v>22</v>
      </c>
      <c r="D492">
        <v>4</v>
      </c>
    </row>
    <row r="493" spans="1:4" x14ac:dyDescent="0.45">
      <c r="A493" s="29">
        <v>45819</v>
      </c>
      <c r="B493" s="13">
        <v>4084500853836</v>
      </c>
      <c r="C493" t="s">
        <v>22</v>
      </c>
      <c r="D493">
        <v>4</v>
      </c>
    </row>
    <row r="494" spans="1:4" x14ac:dyDescent="0.45">
      <c r="A494" s="29">
        <v>45819</v>
      </c>
      <c r="B494" s="13">
        <v>7290000286921</v>
      </c>
      <c r="C494" t="s">
        <v>22</v>
      </c>
      <c r="D494">
        <v>2</v>
      </c>
    </row>
    <row r="495" spans="1:4" x14ac:dyDescent="0.45">
      <c r="A495" s="29">
        <v>45819</v>
      </c>
      <c r="B495" s="13">
        <v>7290000288024</v>
      </c>
      <c r="C495" t="s">
        <v>22</v>
      </c>
      <c r="D495">
        <v>5</v>
      </c>
    </row>
    <row r="496" spans="1:4" x14ac:dyDescent="0.45">
      <c r="A496" s="29">
        <v>45819</v>
      </c>
      <c r="B496" s="13">
        <v>7290000288307</v>
      </c>
      <c r="C496" t="s">
        <v>22</v>
      </c>
      <c r="D496">
        <v>1</v>
      </c>
    </row>
    <row r="497" spans="1:4" x14ac:dyDescent="0.45">
      <c r="A497" s="29">
        <v>45819</v>
      </c>
      <c r="B497" s="13">
        <v>7290000288659</v>
      </c>
      <c r="C497" t="s">
        <v>22</v>
      </c>
      <c r="D497">
        <v>1</v>
      </c>
    </row>
    <row r="498" spans="1:4" x14ac:dyDescent="0.45">
      <c r="A498" s="29">
        <v>45819</v>
      </c>
      <c r="B498" s="13">
        <v>7290000292915</v>
      </c>
      <c r="C498" t="s">
        <v>22</v>
      </c>
      <c r="D498">
        <v>2</v>
      </c>
    </row>
    <row r="499" spans="1:4" x14ac:dyDescent="0.45">
      <c r="A499" s="29">
        <v>45819</v>
      </c>
      <c r="B499" s="13">
        <v>7290000294780</v>
      </c>
      <c r="C499" t="s">
        <v>22</v>
      </c>
      <c r="D499">
        <v>4</v>
      </c>
    </row>
    <row r="500" spans="1:4" x14ac:dyDescent="0.45">
      <c r="A500" s="29">
        <v>45819</v>
      </c>
      <c r="B500" s="13">
        <v>7290000295367</v>
      </c>
      <c r="C500" t="s">
        <v>22</v>
      </c>
      <c r="D500">
        <v>1</v>
      </c>
    </row>
    <row r="501" spans="1:4" x14ac:dyDescent="0.45">
      <c r="A501" s="29">
        <v>45819</v>
      </c>
      <c r="B501" s="13">
        <v>7290000295541</v>
      </c>
      <c r="C501" t="s">
        <v>22</v>
      </c>
      <c r="D501">
        <v>1</v>
      </c>
    </row>
    <row r="502" spans="1:4" x14ac:dyDescent="0.45">
      <c r="A502" s="29">
        <v>45819</v>
      </c>
      <c r="B502" s="13">
        <v>7290001246610</v>
      </c>
      <c r="C502" t="s">
        <v>22</v>
      </c>
      <c r="D502">
        <v>1</v>
      </c>
    </row>
    <row r="503" spans="1:4" x14ac:dyDescent="0.45">
      <c r="A503" s="29">
        <v>45819</v>
      </c>
      <c r="B503" s="13">
        <v>7290005424700</v>
      </c>
      <c r="C503" t="s">
        <v>22</v>
      </c>
      <c r="D503">
        <v>3</v>
      </c>
    </row>
    <row r="504" spans="1:4" x14ac:dyDescent="0.45">
      <c r="A504" s="29">
        <v>45819</v>
      </c>
      <c r="B504" s="13">
        <v>7290005425110</v>
      </c>
      <c r="C504" t="s">
        <v>22</v>
      </c>
      <c r="D504">
        <v>1</v>
      </c>
    </row>
    <row r="505" spans="1:4" x14ac:dyDescent="0.45">
      <c r="A505" s="29">
        <v>45819</v>
      </c>
      <c r="B505" s="13">
        <v>7290005425196</v>
      </c>
      <c r="C505" t="s">
        <v>22</v>
      </c>
      <c r="D505">
        <v>1</v>
      </c>
    </row>
    <row r="506" spans="1:4" x14ac:dyDescent="0.45">
      <c r="A506" s="29">
        <v>45819</v>
      </c>
      <c r="B506" s="13">
        <v>7290012116025</v>
      </c>
      <c r="C506" t="s">
        <v>22</v>
      </c>
      <c r="D506">
        <v>2</v>
      </c>
    </row>
    <row r="507" spans="1:4" x14ac:dyDescent="0.45">
      <c r="A507" s="29">
        <v>45819</v>
      </c>
      <c r="B507" s="13">
        <v>7290012117534</v>
      </c>
      <c r="C507" t="s">
        <v>22</v>
      </c>
      <c r="D507">
        <v>2</v>
      </c>
    </row>
    <row r="508" spans="1:4" x14ac:dyDescent="0.45">
      <c r="A508" s="29">
        <v>45819</v>
      </c>
      <c r="B508" s="13">
        <v>7290013268204</v>
      </c>
      <c r="C508" t="s">
        <v>22</v>
      </c>
      <c r="D508">
        <v>0</v>
      </c>
    </row>
    <row r="509" spans="1:4" x14ac:dyDescent="0.45">
      <c r="A509" s="29">
        <v>45819</v>
      </c>
      <c r="B509" s="13">
        <v>7290013268891</v>
      </c>
      <c r="C509" t="s">
        <v>22</v>
      </c>
      <c r="D509">
        <v>2</v>
      </c>
    </row>
    <row r="510" spans="1:4" x14ac:dyDescent="0.45">
      <c r="A510" s="29">
        <v>45819</v>
      </c>
      <c r="B510" s="13">
        <v>7290013269003</v>
      </c>
      <c r="C510" t="s">
        <v>22</v>
      </c>
      <c r="D510">
        <v>1</v>
      </c>
    </row>
    <row r="511" spans="1:4" x14ac:dyDescent="0.45">
      <c r="A511" s="29">
        <v>45819</v>
      </c>
      <c r="B511" s="13">
        <v>7290014397453</v>
      </c>
      <c r="C511" t="s">
        <v>22</v>
      </c>
      <c r="D511">
        <v>2</v>
      </c>
    </row>
    <row r="512" spans="1:4" x14ac:dyDescent="0.45">
      <c r="A512" s="29">
        <v>45819</v>
      </c>
      <c r="B512" s="13">
        <v>7290019274483</v>
      </c>
      <c r="C512" t="s">
        <v>22</v>
      </c>
      <c r="D512">
        <v>2</v>
      </c>
    </row>
    <row r="513" spans="1:4" x14ac:dyDescent="0.45">
      <c r="A513" s="29">
        <v>45819</v>
      </c>
      <c r="B513" s="13">
        <v>7290019274490</v>
      </c>
      <c r="C513" t="s">
        <v>22</v>
      </c>
      <c r="D513">
        <v>2</v>
      </c>
    </row>
    <row r="514" spans="1:4" x14ac:dyDescent="0.45">
      <c r="A514" s="29">
        <v>45819</v>
      </c>
      <c r="B514" s="13">
        <v>7290019611325</v>
      </c>
      <c r="C514" t="s">
        <v>22</v>
      </c>
      <c r="D514">
        <v>1</v>
      </c>
    </row>
    <row r="515" spans="1:4" x14ac:dyDescent="0.45">
      <c r="A515" s="29">
        <v>45819</v>
      </c>
      <c r="B515" s="13">
        <v>7290103702489</v>
      </c>
      <c r="C515" t="s">
        <v>22</v>
      </c>
      <c r="D515">
        <v>5</v>
      </c>
    </row>
    <row r="516" spans="1:4" x14ac:dyDescent="0.45">
      <c r="A516" s="29">
        <v>45819</v>
      </c>
      <c r="B516" s="13">
        <v>7290103703370</v>
      </c>
      <c r="C516" t="s">
        <v>22</v>
      </c>
      <c r="D516">
        <v>5</v>
      </c>
    </row>
    <row r="517" spans="1:4" x14ac:dyDescent="0.45">
      <c r="A517" s="29">
        <v>45819</v>
      </c>
      <c r="B517" s="13">
        <v>7290103704155</v>
      </c>
      <c r="C517" t="s">
        <v>22</v>
      </c>
      <c r="D517">
        <v>5</v>
      </c>
    </row>
    <row r="518" spans="1:4" x14ac:dyDescent="0.45">
      <c r="A518" s="29">
        <v>45819</v>
      </c>
      <c r="B518" s="13">
        <v>7290103704179</v>
      </c>
      <c r="C518" t="s">
        <v>22</v>
      </c>
      <c r="D518">
        <v>5</v>
      </c>
    </row>
    <row r="519" spans="1:4" x14ac:dyDescent="0.45">
      <c r="A519" s="29">
        <v>45819</v>
      </c>
      <c r="B519" s="13">
        <v>7290103704919</v>
      </c>
      <c r="C519" t="s">
        <v>22</v>
      </c>
      <c r="D519">
        <v>4</v>
      </c>
    </row>
    <row r="520" spans="1:4" x14ac:dyDescent="0.45">
      <c r="A520" s="29">
        <v>45819</v>
      </c>
      <c r="B520" s="13">
        <v>7290107280099</v>
      </c>
      <c r="C520" t="s">
        <v>22</v>
      </c>
      <c r="D520">
        <v>0</v>
      </c>
    </row>
    <row r="521" spans="1:4" x14ac:dyDescent="0.45">
      <c r="A521" s="29">
        <v>45819</v>
      </c>
      <c r="B521" s="13">
        <v>7290108351699</v>
      </c>
      <c r="C521" t="s">
        <v>22</v>
      </c>
      <c r="D521">
        <v>3</v>
      </c>
    </row>
    <row r="522" spans="1:4" x14ac:dyDescent="0.45">
      <c r="A522" s="29">
        <v>45819</v>
      </c>
      <c r="B522" s="13">
        <v>7290108352702</v>
      </c>
      <c r="C522" t="s">
        <v>22</v>
      </c>
      <c r="D522">
        <v>0</v>
      </c>
    </row>
    <row r="523" spans="1:4" x14ac:dyDescent="0.45">
      <c r="A523" s="29">
        <v>45819</v>
      </c>
      <c r="B523" s="13">
        <v>7290108356298</v>
      </c>
      <c r="C523" t="s">
        <v>22</v>
      </c>
      <c r="D523">
        <v>2</v>
      </c>
    </row>
    <row r="524" spans="1:4" x14ac:dyDescent="0.45">
      <c r="A524" s="29">
        <v>45819</v>
      </c>
      <c r="B524" s="13">
        <v>7290108356700</v>
      </c>
      <c r="C524" t="s">
        <v>22</v>
      </c>
      <c r="D524">
        <v>0</v>
      </c>
    </row>
    <row r="525" spans="1:4" x14ac:dyDescent="0.45">
      <c r="A525" s="29">
        <v>45819</v>
      </c>
      <c r="B525" s="13">
        <v>7290108356717</v>
      </c>
      <c r="C525" t="s">
        <v>22</v>
      </c>
      <c r="D525">
        <v>2</v>
      </c>
    </row>
    <row r="526" spans="1:4" x14ac:dyDescent="0.45">
      <c r="A526" s="29">
        <v>45819</v>
      </c>
      <c r="B526" s="13">
        <v>7290108356724</v>
      </c>
      <c r="C526" t="s">
        <v>22</v>
      </c>
      <c r="D526">
        <v>2</v>
      </c>
    </row>
    <row r="527" spans="1:4" x14ac:dyDescent="0.45">
      <c r="A527" s="29">
        <v>45819</v>
      </c>
      <c r="B527" s="13">
        <v>7290108357240</v>
      </c>
      <c r="C527" t="s">
        <v>22</v>
      </c>
      <c r="D527">
        <v>2</v>
      </c>
    </row>
    <row r="528" spans="1:4" x14ac:dyDescent="0.45">
      <c r="A528" s="29">
        <v>45819</v>
      </c>
      <c r="B528" s="13">
        <v>7290108357288</v>
      </c>
      <c r="C528" t="s">
        <v>22</v>
      </c>
      <c r="D528">
        <v>5</v>
      </c>
    </row>
    <row r="529" spans="1:4" x14ac:dyDescent="0.45">
      <c r="A529" s="29">
        <v>45819</v>
      </c>
      <c r="B529" s="13">
        <v>7290108357844</v>
      </c>
      <c r="C529" t="s">
        <v>22</v>
      </c>
      <c r="D529">
        <v>3</v>
      </c>
    </row>
    <row r="530" spans="1:4" x14ac:dyDescent="0.45">
      <c r="A530" s="29">
        <v>45819</v>
      </c>
      <c r="B530" s="13">
        <v>7290108359077</v>
      </c>
      <c r="C530" t="s">
        <v>22</v>
      </c>
      <c r="D530">
        <v>0</v>
      </c>
    </row>
    <row r="531" spans="1:4" x14ac:dyDescent="0.45">
      <c r="A531" s="29">
        <v>45819</v>
      </c>
      <c r="B531" s="13">
        <v>7290108359176</v>
      </c>
      <c r="C531" t="s">
        <v>22</v>
      </c>
      <c r="D531">
        <v>0</v>
      </c>
    </row>
    <row r="532" spans="1:4" x14ac:dyDescent="0.45">
      <c r="A532" s="29">
        <v>45819</v>
      </c>
      <c r="B532" s="13">
        <v>7290108359190</v>
      </c>
      <c r="C532" t="s">
        <v>22</v>
      </c>
      <c r="D532">
        <v>1</v>
      </c>
    </row>
    <row r="533" spans="1:4" x14ac:dyDescent="0.45">
      <c r="A533" s="29">
        <v>45819</v>
      </c>
      <c r="B533" s="13">
        <v>8001090184375</v>
      </c>
      <c r="C533" t="s">
        <v>22</v>
      </c>
      <c r="D533">
        <v>2</v>
      </c>
    </row>
    <row r="534" spans="1:4" x14ac:dyDescent="0.45">
      <c r="A534" s="29">
        <v>45819</v>
      </c>
      <c r="B534" s="13">
        <v>8001090184412</v>
      </c>
      <c r="C534" t="s">
        <v>22</v>
      </c>
      <c r="D534">
        <v>5</v>
      </c>
    </row>
    <row r="535" spans="1:4" x14ac:dyDescent="0.45">
      <c r="A535" s="29">
        <v>45819</v>
      </c>
      <c r="B535" s="13">
        <v>8001841625362</v>
      </c>
      <c r="C535" t="s">
        <v>22</v>
      </c>
      <c r="D535">
        <v>2</v>
      </c>
    </row>
    <row r="536" spans="1:4" x14ac:dyDescent="0.45">
      <c r="A536" s="29">
        <v>45819</v>
      </c>
      <c r="B536" s="13">
        <v>8001841893990</v>
      </c>
      <c r="C536" t="s">
        <v>22</v>
      </c>
      <c r="D536">
        <v>1</v>
      </c>
    </row>
    <row r="537" spans="1:4" x14ac:dyDescent="0.45">
      <c r="A537" s="29">
        <v>45819</v>
      </c>
      <c r="B537" s="13">
        <v>8006540429327</v>
      </c>
      <c r="C537" t="s">
        <v>22</v>
      </c>
      <c r="D537">
        <v>4</v>
      </c>
    </row>
    <row r="538" spans="1:4" x14ac:dyDescent="0.45">
      <c r="A538" s="29">
        <v>45819</v>
      </c>
      <c r="B538" s="13">
        <v>8700216163811</v>
      </c>
      <c r="C538" t="s">
        <v>22</v>
      </c>
      <c r="D538">
        <v>4</v>
      </c>
    </row>
    <row r="539" spans="1:4" x14ac:dyDescent="0.45">
      <c r="A539" s="29">
        <v>45819</v>
      </c>
      <c r="B539" s="13">
        <v>8700216236034</v>
      </c>
      <c r="C539" t="s">
        <v>22</v>
      </c>
      <c r="D539">
        <v>0</v>
      </c>
    </row>
    <row r="540" spans="1:4" x14ac:dyDescent="0.45">
      <c r="A540" s="29">
        <v>45819</v>
      </c>
      <c r="B540" s="13">
        <v>8700216236751</v>
      </c>
      <c r="C540" t="s">
        <v>22</v>
      </c>
      <c r="D540">
        <v>2</v>
      </c>
    </row>
    <row r="541" spans="1:4" x14ac:dyDescent="0.45">
      <c r="A541" s="29">
        <v>45820</v>
      </c>
      <c r="B541" s="13">
        <v>4084500088917</v>
      </c>
      <c r="C541" t="s">
        <v>22</v>
      </c>
      <c r="D541">
        <v>5</v>
      </c>
    </row>
    <row r="542" spans="1:4" x14ac:dyDescent="0.45">
      <c r="A542" s="29">
        <v>45820</v>
      </c>
      <c r="B542" s="13">
        <v>4084500853836</v>
      </c>
      <c r="C542" t="s">
        <v>22</v>
      </c>
      <c r="D542">
        <v>4</v>
      </c>
    </row>
    <row r="543" spans="1:4" x14ac:dyDescent="0.45">
      <c r="A543" s="29">
        <v>45820</v>
      </c>
      <c r="B543" s="13">
        <v>7290000286921</v>
      </c>
      <c r="C543" t="s">
        <v>22</v>
      </c>
      <c r="D543">
        <v>2</v>
      </c>
    </row>
    <row r="544" spans="1:4" x14ac:dyDescent="0.45">
      <c r="A544" s="29">
        <v>45820</v>
      </c>
      <c r="B544" s="13">
        <v>7290000288024</v>
      </c>
      <c r="C544" t="s">
        <v>22</v>
      </c>
      <c r="D544">
        <v>4</v>
      </c>
    </row>
    <row r="545" spans="1:4" x14ac:dyDescent="0.45">
      <c r="A545" s="29">
        <v>45820</v>
      </c>
      <c r="B545" s="13">
        <v>7290000288307</v>
      </c>
      <c r="C545" t="s">
        <v>22</v>
      </c>
      <c r="D545">
        <v>1</v>
      </c>
    </row>
    <row r="546" spans="1:4" x14ac:dyDescent="0.45">
      <c r="A546" s="29">
        <v>45820</v>
      </c>
      <c r="B546" s="13">
        <v>7290000288659</v>
      </c>
      <c r="C546" t="s">
        <v>22</v>
      </c>
      <c r="D546">
        <v>0</v>
      </c>
    </row>
    <row r="547" spans="1:4" x14ac:dyDescent="0.45">
      <c r="A547" s="29">
        <v>45820</v>
      </c>
      <c r="B547" s="13">
        <v>7290000292915</v>
      </c>
      <c r="C547" t="s">
        <v>22</v>
      </c>
      <c r="D547">
        <v>3</v>
      </c>
    </row>
    <row r="548" spans="1:4" x14ac:dyDescent="0.45">
      <c r="A548" s="29">
        <v>45820</v>
      </c>
      <c r="B548" s="13">
        <v>7290000294780</v>
      </c>
      <c r="C548" t="s">
        <v>22</v>
      </c>
      <c r="D548">
        <v>4</v>
      </c>
    </row>
    <row r="549" spans="1:4" x14ac:dyDescent="0.45">
      <c r="A549" s="29">
        <v>45820</v>
      </c>
      <c r="B549" s="13">
        <v>7290000295367</v>
      </c>
      <c r="C549" t="s">
        <v>22</v>
      </c>
      <c r="D549">
        <v>2</v>
      </c>
    </row>
    <row r="550" spans="1:4" x14ac:dyDescent="0.45">
      <c r="A550" s="29">
        <v>45820</v>
      </c>
      <c r="B550" s="13">
        <v>7290000295541</v>
      </c>
      <c r="C550" t="s">
        <v>22</v>
      </c>
      <c r="D550">
        <v>1</v>
      </c>
    </row>
    <row r="551" spans="1:4" x14ac:dyDescent="0.45">
      <c r="A551" s="29">
        <v>45820</v>
      </c>
      <c r="B551" s="13">
        <v>7290001246610</v>
      </c>
      <c r="C551" t="s">
        <v>22</v>
      </c>
      <c r="D551">
        <v>1</v>
      </c>
    </row>
    <row r="552" spans="1:4" x14ac:dyDescent="0.45">
      <c r="A552" s="29">
        <v>45820</v>
      </c>
      <c r="B552" s="13">
        <v>7290005424700</v>
      </c>
      <c r="C552" t="s">
        <v>22</v>
      </c>
      <c r="D552">
        <v>2</v>
      </c>
    </row>
    <row r="553" spans="1:4" x14ac:dyDescent="0.45">
      <c r="A553" s="29">
        <v>45820</v>
      </c>
      <c r="B553" s="13">
        <v>7290005425110</v>
      </c>
      <c r="C553" t="s">
        <v>22</v>
      </c>
      <c r="D553">
        <v>3</v>
      </c>
    </row>
    <row r="554" spans="1:4" x14ac:dyDescent="0.45">
      <c r="A554" s="29">
        <v>45820</v>
      </c>
      <c r="B554" s="13">
        <v>7290005425196</v>
      </c>
      <c r="C554" t="s">
        <v>22</v>
      </c>
      <c r="D554">
        <v>1</v>
      </c>
    </row>
    <row r="555" spans="1:4" x14ac:dyDescent="0.45">
      <c r="A555" s="29">
        <v>45820</v>
      </c>
      <c r="B555" s="13">
        <v>7290012116025</v>
      </c>
      <c r="C555" t="s">
        <v>22</v>
      </c>
      <c r="D555">
        <v>3</v>
      </c>
    </row>
    <row r="556" spans="1:4" x14ac:dyDescent="0.45">
      <c r="A556" s="29">
        <v>45820</v>
      </c>
      <c r="B556" s="13">
        <v>7290012117534</v>
      </c>
      <c r="C556" t="s">
        <v>22</v>
      </c>
      <c r="D556">
        <v>1</v>
      </c>
    </row>
    <row r="557" spans="1:4" x14ac:dyDescent="0.45">
      <c r="A557" s="29">
        <v>45820</v>
      </c>
      <c r="B557" s="13">
        <v>7290013268204</v>
      </c>
      <c r="C557" t="s">
        <v>22</v>
      </c>
      <c r="D557">
        <v>0</v>
      </c>
    </row>
    <row r="558" spans="1:4" x14ac:dyDescent="0.45">
      <c r="A558" s="29">
        <v>45820</v>
      </c>
      <c r="B558" s="13">
        <v>7290013268891</v>
      </c>
      <c r="C558" t="s">
        <v>22</v>
      </c>
      <c r="D558">
        <v>2</v>
      </c>
    </row>
    <row r="559" spans="1:4" x14ac:dyDescent="0.45">
      <c r="A559" s="29">
        <v>45820</v>
      </c>
      <c r="B559" s="13">
        <v>7290013269003</v>
      </c>
      <c r="C559" t="s">
        <v>22</v>
      </c>
      <c r="D559">
        <v>1</v>
      </c>
    </row>
    <row r="560" spans="1:4" x14ac:dyDescent="0.45">
      <c r="A560" s="29">
        <v>45820</v>
      </c>
      <c r="B560" s="13">
        <v>7290014397453</v>
      </c>
      <c r="C560" t="s">
        <v>22</v>
      </c>
      <c r="D560">
        <v>1</v>
      </c>
    </row>
    <row r="561" spans="1:4" x14ac:dyDescent="0.45">
      <c r="A561" s="29">
        <v>45820</v>
      </c>
      <c r="B561" s="13">
        <v>7290019274483</v>
      </c>
      <c r="C561" t="s">
        <v>22</v>
      </c>
      <c r="D561">
        <v>2</v>
      </c>
    </row>
    <row r="562" spans="1:4" x14ac:dyDescent="0.45">
      <c r="A562" s="29">
        <v>45820</v>
      </c>
      <c r="B562" s="13">
        <v>7290019274490</v>
      </c>
      <c r="C562" t="s">
        <v>22</v>
      </c>
      <c r="D562">
        <v>1</v>
      </c>
    </row>
    <row r="563" spans="1:4" x14ac:dyDescent="0.45">
      <c r="A563" s="29">
        <v>45820</v>
      </c>
      <c r="B563" s="13">
        <v>7290019611325</v>
      </c>
      <c r="C563" t="s">
        <v>22</v>
      </c>
      <c r="D563">
        <v>2</v>
      </c>
    </row>
    <row r="564" spans="1:4" x14ac:dyDescent="0.45">
      <c r="A564" s="29">
        <v>45820</v>
      </c>
      <c r="B564" s="13">
        <v>7290103702489</v>
      </c>
      <c r="C564" t="s">
        <v>22</v>
      </c>
      <c r="D564">
        <v>4</v>
      </c>
    </row>
    <row r="565" spans="1:4" x14ac:dyDescent="0.45">
      <c r="A565" s="29">
        <v>45820</v>
      </c>
      <c r="B565" s="13">
        <v>7290103703370</v>
      </c>
      <c r="C565" t="s">
        <v>22</v>
      </c>
      <c r="D565">
        <v>5</v>
      </c>
    </row>
    <row r="566" spans="1:4" x14ac:dyDescent="0.45">
      <c r="A566" s="29">
        <v>45820</v>
      </c>
      <c r="B566" s="13">
        <v>7290103704155</v>
      </c>
      <c r="C566" t="s">
        <v>22</v>
      </c>
      <c r="D566">
        <v>5</v>
      </c>
    </row>
    <row r="567" spans="1:4" x14ac:dyDescent="0.45">
      <c r="A567" s="29">
        <v>45820</v>
      </c>
      <c r="B567" s="13">
        <v>7290103704179</v>
      </c>
      <c r="C567" t="s">
        <v>22</v>
      </c>
      <c r="D567">
        <v>5</v>
      </c>
    </row>
    <row r="568" spans="1:4" x14ac:dyDescent="0.45">
      <c r="A568" s="29">
        <v>45820</v>
      </c>
      <c r="B568" s="13">
        <v>7290103704919</v>
      </c>
      <c r="C568" t="s">
        <v>22</v>
      </c>
      <c r="D568">
        <v>4</v>
      </c>
    </row>
    <row r="569" spans="1:4" x14ac:dyDescent="0.45">
      <c r="A569" s="29">
        <v>45820</v>
      </c>
      <c r="B569" s="13">
        <v>7290107280099</v>
      </c>
      <c r="C569" t="s">
        <v>22</v>
      </c>
      <c r="D569">
        <v>1</v>
      </c>
    </row>
    <row r="570" spans="1:4" x14ac:dyDescent="0.45">
      <c r="A570" s="29">
        <v>45820</v>
      </c>
      <c r="B570" s="13">
        <v>7290108351699</v>
      </c>
      <c r="C570" t="s">
        <v>22</v>
      </c>
      <c r="D570">
        <v>2</v>
      </c>
    </row>
    <row r="571" spans="1:4" x14ac:dyDescent="0.45">
      <c r="A571" s="29">
        <v>45820</v>
      </c>
      <c r="B571" s="13">
        <v>7290108352702</v>
      </c>
      <c r="C571" t="s">
        <v>22</v>
      </c>
      <c r="D571">
        <v>1</v>
      </c>
    </row>
    <row r="572" spans="1:4" x14ac:dyDescent="0.45">
      <c r="A572" s="29">
        <v>45820</v>
      </c>
      <c r="B572" s="13">
        <v>7290108356298</v>
      </c>
      <c r="C572" t="s">
        <v>22</v>
      </c>
      <c r="D572">
        <v>3</v>
      </c>
    </row>
    <row r="573" spans="1:4" x14ac:dyDescent="0.45">
      <c r="A573" s="29">
        <v>45820</v>
      </c>
      <c r="B573" s="13">
        <v>7290108356700</v>
      </c>
      <c r="C573" t="s">
        <v>22</v>
      </c>
      <c r="D573">
        <v>1</v>
      </c>
    </row>
    <row r="574" spans="1:4" x14ac:dyDescent="0.45">
      <c r="A574" s="29">
        <v>45820</v>
      </c>
      <c r="B574" s="13">
        <v>7290108356717</v>
      </c>
      <c r="C574" t="s">
        <v>22</v>
      </c>
      <c r="D574">
        <v>1</v>
      </c>
    </row>
    <row r="575" spans="1:4" x14ac:dyDescent="0.45">
      <c r="A575" s="29">
        <v>45820</v>
      </c>
      <c r="B575" s="13">
        <v>7290108356724</v>
      </c>
      <c r="C575" t="s">
        <v>22</v>
      </c>
      <c r="D575">
        <v>2</v>
      </c>
    </row>
    <row r="576" spans="1:4" x14ac:dyDescent="0.45">
      <c r="A576" s="29">
        <v>45820</v>
      </c>
      <c r="B576" s="13">
        <v>7290108357240</v>
      </c>
      <c r="C576" t="s">
        <v>22</v>
      </c>
      <c r="D576">
        <v>2</v>
      </c>
    </row>
    <row r="577" spans="1:4" x14ac:dyDescent="0.45">
      <c r="A577" s="29">
        <v>45820</v>
      </c>
      <c r="B577" s="13">
        <v>7290108357288</v>
      </c>
      <c r="C577" t="s">
        <v>22</v>
      </c>
      <c r="D577">
        <v>4</v>
      </c>
    </row>
    <row r="578" spans="1:4" x14ac:dyDescent="0.45">
      <c r="A578" s="29">
        <v>45820</v>
      </c>
      <c r="B578" s="13">
        <v>7290108357844</v>
      </c>
      <c r="C578" t="s">
        <v>22</v>
      </c>
      <c r="D578">
        <v>2</v>
      </c>
    </row>
    <row r="579" spans="1:4" x14ac:dyDescent="0.45">
      <c r="A579" s="29">
        <v>45820</v>
      </c>
      <c r="B579" s="13">
        <v>7290108359077</v>
      </c>
      <c r="C579" t="s">
        <v>22</v>
      </c>
      <c r="D579">
        <v>1</v>
      </c>
    </row>
    <row r="580" spans="1:4" x14ac:dyDescent="0.45">
      <c r="A580" s="29">
        <v>45820</v>
      </c>
      <c r="B580" s="13">
        <v>7290108359176</v>
      </c>
      <c r="C580" t="s">
        <v>22</v>
      </c>
      <c r="D580">
        <v>1</v>
      </c>
    </row>
    <row r="581" spans="1:4" x14ac:dyDescent="0.45">
      <c r="A581" s="29">
        <v>45820</v>
      </c>
      <c r="B581" s="13">
        <v>7290108359190</v>
      </c>
      <c r="C581" t="s">
        <v>22</v>
      </c>
      <c r="D581">
        <v>1</v>
      </c>
    </row>
    <row r="582" spans="1:4" x14ac:dyDescent="0.45">
      <c r="A582" s="29">
        <v>45820</v>
      </c>
      <c r="B582" s="13">
        <v>8001090184375</v>
      </c>
      <c r="C582" t="s">
        <v>22</v>
      </c>
      <c r="D582">
        <v>0</v>
      </c>
    </row>
    <row r="583" spans="1:4" x14ac:dyDescent="0.45">
      <c r="A583" s="29">
        <v>45820</v>
      </c>
      <c r="B583" s="13">
        <v>8001090184412</v>
      </c>
      <c r="C583" t="s">
        <v>22</v>
      </c>
      <c r="D583">
        <v>5</v>
      </c>
    </row>
    <row r="584" spans="1:4" x14ac:dyDescent="0.45">
      <c r="A584" s="29">
        <v>45820</v>
      </c>
      <c r="B584" s="13">
        <v>8001841625362</v>
      </c>
      <c r="C584" t="s">
        <v>22</v>
      </c>
      <c r="D584">
        <v>1</v>
      </c>
    </row>
    <row r="585" spans="1:4" x14ac:dyDescent="0.45">
      <c r="A585" s="29">
        <v>45820</v>
      </c>
      <c r="B585" s="13">
        <v>8001841893990</v>
      </c>
      <c r="C585" t="s">
        <v>22</v>
      </c>
      <c r="D585">
        <v>1</v>
      </c>
    </row>
    <row r="586" spans="1:4" x14ac:dyDescent="0.45">
      <c r="A586" s="29">
        <v>45820</v>
      </c>
      <c r="B586" s="13">
        <v>8006540429327</v>
      </c>
      <c r="C586" t="s">
        <v>22</v>
      </c>
      <c r="D586">
        <v>4</v>
      </c>
    </row>
    <row r="587" spans="1:4" x14ac:dyDescent="0.45">
      <c r="A587" s="29">
        <v>45820</v>
      </c>
      <c r="B587" s="13">
        <v>8700216163811</v>
      </c>
      <c r="C587" t="s">
        <v>22</v>
      </c>
      <c r="D587">
        <v>5</v>
      </c>
    </row>
    <row r="588" spans="1:4" x14ac:dyDescent="0.45">
      <c r="A588" s="29">
        <v>45820</v>
      </c>
      <c r="B588" s="13">
        <v>8700216236034</v>
      </c>
      <c r="C588" t="s">
        <v>22</v>
      </c>
      <c r="D588">
        <v>2</v>
      </c>
    </row>
    <row r="589" spans="1:4" x14ac:dyDescent="0.45">
      <c r="A589" s="29">
        <v>45820</v>
      </c>
      <c r="B589" s="13">
        <v>8700216236751</v>
      </c>
      <c r="C589" t="s">
        <v>22</v>
      </c>
      <c r="D589">
        <v>2</v>
      </c>
    </row>
    <row r="590" spans="1:4" x14ac:dyDescent="0.45">
      <c r="A590" s="29">
        <v>45821</v>
      </c>
      <c r="B590" s="13">
        <v>4084500088917</v>
      </c>
      <c r="C590" t="s">
        <v>22</v>
      </c>
      <c r="D590">
        <v>10</v>
      </c>
    </row>
    <row r="591" spans="1:4" x14ac:dyDescent="0.45">
      <c r="A591" s="29">
        <v>45821</v>
      </c>
      <c r="B591" s="13">
        <v>4084500853836</v>
      </c>
      <c r="C591" t="s">
        <v>22</v>
      </c>
      <c r="D591">
        <v>8</v>
      </c>
    </row>
    <row r="592" spans="1:4" x14ac:dyDescent="0.45">
      <c r="A592" s="29">
        <v>45821</v>
      </c>
      <c r="B592" s="13">
        <v>7290000286921</v>
      </c>
      <c r="C592" t="s">
        <v>22</v>
      </c>
      <c r="D592">
        <v>4</v>
      </c>
    </row>
    <row r="593" spans="1:4" x14ac:dyDescent="0.45">
      <c r="A593" s="29">
        <v>45821</v>
      </c>
      <c r="B593" s="13">
        <v>7290000288024</v>
      </c>
      <c r="C593" t="s">
        <v>22</v>
      </c>
      <c r="D593">
        <v>10</v>
      </c>
    </row>
    <row r="594" spans="1:4" x14ac:dyDescent="0.45">
      <c r="A594" s="29">
        <v>45821</v>
      </c>
      <c r="B594" s="13">
        <v>7290000288307</v>
      </c>
      <c r="C594" t="s">
        <v>22</v>
      </c>
      <c r="D594">
        <v>3</v>
      </c>
    </row>
    <row r="595" spans="1:4" x14ac:dyDescent="0.45">
      <c r="A595" s="29">
        <v>45821</v>
      </c>
      <c r="B595" s="13">
        <v>7290000288659</v>
      </c>
      <c r="C595" t="s">
        <v>22</v>
      </c>
      <c r="D595">
        <v>2</v>
      </c>
    </row>
    <row r="596" spans="1:4" x14ac:dyDescent="0.45">
      <c r="A596" s="29">
        <v>45821</v>
      </c>
      <c r="B596" s="13">
        <v>7290000292915</v>
      </c>
      <c r="C596" t="s">
        <v>22</v>
      </c>
      <c r="D596">
        <v>4</v>
      </c>
    </row>
    <row r="597" spans="1:4" x14ac:dyDescent="0.45">
      <c r="A597" s="29">
        <v>45821</v>
      </c>
      <c r="B597" s="13">
        <v>7290000294780</v>
      </c>
      <c r="C597" t="s">
        <v>22</v>
      </c>
      <c r="D597">
        <v>10</v>
      </c>
    </row>
    <row r="598" spans="1:4" x14ac:dyDescent="0.45">
      <c r="A598" s="29">
        <v>45821</v>
      </c>
      <c r="B598" s="13">
        <v>7290000295367</v>
      </c>
      <c r="C598" t="s">
        <v>22</v>
      </c>
      <c r="D598">
        <v>2</v>
      </c>
    </row>
    <row r="599" spans="1:4" x14ac:dyDescent="0.45">
      <c r="A599" s="29">
        <v>45821</v>
      </c>
      <c r="B599" s="13">
        <v>7290000295541</v>
      </c>
      <c r="C599" t="s">
        <v>22</v>
      </c>
      <c r="D599">
        <v>2</v>
      </c>
    </row>
    <row r="600" spans="1:4" x14ac:dyDescent="0.45">
      <c r="A600" s="29">
        <v>45821</v>
      </c>
      <c r="B600" s="13">
        <v>7290001246610</v>
      </c>
      <c r="C600" t="s">
        <v>22</v>
      </c>
      <c r="D600">
        <v>4</v>
      </c>
    </row>
    <row r="601" spans="1:4" x14ac:dyDescent="0.45">
      <c r="A601" s="29">
        <v>45821</v>
      </c>
      <c r="B601" s="13">
        <v>7290005424700</v>
      </c>
      <c r="C601" t="s">
        <v>22</v>
      </c>
      <c r="D601">
        <v>6</v>
      </c>
    </row>
    <row r="602" spans="1:4" x14ac:dyDescent="0.45">
      <c r="A602" s="29">
        <v>45821</v>
      </c>
      <c r="B602" s="13">
        <v>7290005425110</v>
      </c>
      <c r="C602" t="s">
        <v>22</v>
      </c>
      <c r="D602">
        <v>4</v>
      </c>
    </row>
    <row r="603" spans="1:4" x14ac:dyDescent="0.45">
      <c r="A603" s="29">
        <v>45821</v>
      </c>
      <c r="B603" s="13">
        <v>7290005425196</v>
      </c>
      <c r="C603" t="s">
        <v>22</v>
      </c>
      <c r="D603">
        <v>2</v>
      </c>
    </row>
    <row r="604" spans="1:4" x14ac:dyDescent="0.45">
      <c r="A604" s="29">
        <v>45821</v>
      </c>
      <c r="B604" s="13">
        <v>7290012116025</v>
      </c>
      <c r="C604" t="s">
        <v>22</v>
      </c>
      <c r="D604">
        <v>2</v>
      </c>
    </row>
    <row r="605" spans="1:4" x14ac:dyDescent="0.45">
      <c r="A605" s="29">
        <v>45821</v>
      </c>
      <c r="B605" s="13">
        <v>7290012117534</v>
      </c>
      <c r="C605" t="s">
        <v>22</v>
      </c>
      <c r="D605">
        <v>2</v>
      </c>
    </row>
    <row r="606" spans="1:4" x14ac:dyDescent="0.45">
      <c r="A606" s="29">
        <v>45821</v>
      </c>
      <c r="B606" s="13">
        <v>7290013268204</v>
      </c>
      <c r="C606" t="s">
        <v>22</v>
      </c>
      <c r="D606">
        <v>3</v>
      </c>
    </row>
    <row r="607" spans="1:4" x14ac:dyDescent="0.45">
      <c r="A607" s="29">
        <v>45821</v>
      </c>
      <c r="B607" s="13">
        <v>7290013268891</v>
      </c>
      <c r="C607" t="s">
        <v>22</v>
      </c>
      <c r="D607">
        <v>2</v>
      </c>
    </row>
    <row r="608" spans="1:4" x14ac:dyDescent="0.45">
      <c r="A608" s="29">
        <v>45821</v>
      </c>
      <c r="B608" s="13">
        <v>7290013269003</v>
      </c>
      <c r="C608" t="s">
        <v>22</v>
      </c>
      <c r="D608">
        <v>2</v>
      </c>
    </row>
    <row r="609" spans="1:4" x14ac:dyDescent="0.45">
      <c r="A609" s="29">
        <v>45821</v>
      </c>
      <c r="B609" s="13">
        <v>7290014397453</v>
      </c>
      <c r="C609" t="s">
        <v>22</v>
      </c>
      <c r="D609">
        <v>4</v>
      </c>
    </row>
    <row r="610" spans="1:4" x14ac:dyDescent="0.45">
      <c r="A610" s="29">
        <v>45821</v>
      </c>
      <c r="B610" s="13">
        <v>7290019274483</v>
      </c>
      <c r="C610" t="s">
        <v>22</v>
      </c>
      <c r="D610">
        <v>2</v>
      </c>
    </row>
    <row r="611" spans="1:4" x14ac:dyDescent="0.45">
      <c r="A611" s="29">
        <v>45821</v>
      </c>
      <c r="B611" s="13">
        <v>7290019274490</v>
      </c>
      <c r="C611" t="s">
        <v>22</v>
      </c>
      <c r="D611">
        <v>2</v>
      </c>
    </row>
    <row r="612" spans="1:4" x14ac:dyDescent="0.45">
      <c r="A612" s="29">
        <v>45821</v>
      </c>
      <c r="B612" s="13">
        <v>7290019611325</v>
      </c>
      <c r="C612" t="s">
        <v>22</v>
      </c>
      <c r="D612">
        <v>2</v>
      </c>
    </row>
    <row r="613" spans="1:4" x14ac:dyDescent="0.45">
      <c r="A613" s="29">
        <v>45821</v>
      </c>
      <c r="B613" s="13">
        <v>7290103702489</v>
      </c>
      <c r="C613" t="s">
        <v>22</v>
      </c>
      <c r="D613">
        <v>10</v>
      </c>
    </row>
    <row r="614" spans="1:4" x14ac:dyDescent="0.45">
      <c r="A614" s="29">
        <v>45821</v>
      </c>
      <c r="B614" s="13">
        <v>7290103703370</v>
      </c>
      <c r="C614" t="s">
        <v>22</v>
      </c>
      <c r="D614">
        <v>10</v>
      </c>
    </row>
    <row r="615" spans="1:4" x14ac:dyDescent="0.45">
      <c r="A615" s="29">
        <v>45821</v>
      </c>
      <c r="B615" s="13">
        <v>7290103704155</v>
      </c>
      <c r="C615" t="s">
        <v>22</v>
      </c>
      <c r="D615">
        <v>10</v>
      </c>
    </row>
    <row r="616" spans="1:4" x14ac:dyDescent="0.45">
      <c r="A616" s="29">
        <v>45821</v>
      </c>
      <c r="B616" s="13">
        <v>7290103704179</v>
      </c>
      <c r="C616" t="s">
        <v>22</v>
      </c>
      <c r="D616">
        <v>8</v>
      </c>
    </row>
    <row r="617" spans="1:4" x14ac:dyDescent="0.45">
      <c r="A617" s="29">
        <v>45821</v>
      </c>
      <c r="B617" s="13">
        <v>7290103704919</v>
      </c>
      <c r="C617" t="s">
        <v>22</v>
      </c>
      <c r="D617">
        <v>10</v>
      </c>
    </row>
    <row r="618" spans="1:4" x14ac:dyDescent="0.45">
      <c r="A618" s="29">
        <v>45821</v>
      </c>
      <c r="B618" s="13">
        <v>7290107280099</v>
      </c>
      <c r="C618" t="s">
        <v>22</v>
      </c>
      <c r="D618">
        <v>2</v>
      </c>
    </row>
    <row r="619" spans="1:4" x14ac:dyDescent="0.45">
      <c r="A619" s="29">
        <v>45821</v>
      </c>
      <c r="B619" s="13">
        <v>7290108351699</v>
      </c>
      <c r="C619" t="s">
        <v>22</v>
      </c>
      <c r="D619">
        <v>2</v>
      </c>
    </row>
    <row r="620" spans="1:4" x14ac:dyDescent="0.45">
      <c r="A620" s="29">
        <v>45821</v>
      </c>
      <c r="B620" s="13">
        <v>7290108352702</v>
      </c>
      <c r="C620" t="s">
        <v>22</v>
      </c>
      <c r="D620">
        <v>2</v>
      </c>
    </row>
    <row r="621" spans="1:4" x14ac:dyDescent="0.45">
      <c r="A621" s="29">
        <v>45821</v>
      </c>
      <c r="B621" s="13">
        <v>7290108356298</v>
      </c>
      <c r="C621" t="s">
        <v>22</v>
      </c>
      <c r="D621">
        <v>6</v>
      </c>
    </row>
    <row r="622" spans="1:4" x14ac:dyDescent="0.45">
      <c r="A622" s="29">
        <v>45821</v>
      </c>
      <c r="B622" s="13">
        <v>7290108356700</v>
      </c>
      <c r="C622" t="s">
        <v>22</v>
      </c>
      <c r="D622">
        <v>3</v>
      </c>
    </row>
    <row r="623" spans="1:4" x14ac:dyDescent="0.45">
      <c r="A623" s="29">
        <v>45821</v>
      </c>
      <c r="B623" s="13">
        <v>7290108356717</v>
      </c>
      <c r="C623" t="s">
        <v>22</v>
      </c>
      <c r="D623">
        <v>4</v>
      </c>
    </row>
    <row r="624" spans="1:4" x14ac:dyDescent="0.45">
      <c r="A624" s="29">
        <v>45821</v>
      </c>
      <c r="B624" s="13">
        <v>7290108356724</v>
      </c>
      <c r="C624" t="s">
        <v>22</v>
      </c>
      <c r="D624">
        <v>2</v>
      </c>
    </row>
    <row r="625" spans="1:4" x14ac:dyDescent="0.45">
      <c r="A625" s="29">
        <v>45821</v>
      </c>
      <c r="B625" s="13">
        <v>7290108357240</v>
      </c>
      <c r="C625" t="s">
        <v>22</v>
      </c>
      <c r="D625">
        <v>4</v>
      </c>
    </row>
    <row r="626" spans="1:4" x14ac:dyDescent="0.45">
      <c r="A626" s="29">
        <v>45821</v>
      </c>
      <c r="B626" s="13">
        <v>7290108357288</v>
      </c>
      <c r="C626" t="s">
        <v>22</v>
      </c>
      <c r="D626">
        <v>10</v>
      </c>
    </row>
    <row r="627" spans="1:4" x14ac:dyDescent="0.45">
      <c r="A627" s="29">
        <v>45821</v>
      </c>
      <c r="B627" s="13">
        <v>7290108357844</v>
      </c>
      <c r="C627" t="s">
        <v>22</v>
      </c>
      <c r="D627">
        <v>6</v>
      </c>
    </row>
    <row r="628" spans="1:4" x14ac:dyDescent="0.45">
      <c r="A628" s="29">
        <v>45821</v>
      </c>
      <c r="B628" s="13">
        <v>7290108359077</v>
      </c>
      <c r="C628" t="s">
        <v>22</v>
      </c>
      <c r="D628">
        <v>2</v>
      </c>
    </row>
    <row r="629" spans="1:4" x14ac:dyDescent="0.45">
      <c r="A629" s="29">
        <v>45821</v>
      </c>
      <c r="B629" s="13">
        <v>7290108359176</v>
      </c>
      <c r="C629" t="s">
        <v>22</v>
      </c>
      <c r="D629">
        <v>3</v>
      </c>
    </row>
    <row r="630" spans="1:4" x14ac:dyDescent="0.45">
      <c r="A630" s="29">
        <v>45821</v>
      </c>
      <c r="B630" s="13">
        <v>7290108359190</v>
      </c>
      <c r="C630" t="s">
        <v>22</v>
      </c>
      <c r="D630">
        <v>3</v>
      </c>
    </row>
    <row r="631" spans="1:4" x14ac:dyDescent="0.45">
      <c r="A631" s="29">
        <v>45821</v>
      </c>
      <c r="B631" s="13">
        <v>8001090184375</v>
      </c>
      <c r="C631" t="s">
        <v>22</v>
      </c>
      <c r="D631">
        <v>2</v>
      </c>
    </row>
    <row r="632" spans="1:4" x14ac:dyDescent="0.45">
      <c r="A632" s="29">
        <v>45821</v>
      </c>
      <c r="B632" s="13">
        <v>8001090184412</v>
      </c>
      <c r="C632" t="s">
        <v>22</v>
      </c>
      <c r="D632">
        <v>10</v>
      </c>
    </row>
    <row r="633" spans="1:4" x14ac:dyDescent="0.45">
      <c r="A633" s="29">
        <v>45821</v>
      </c>
      <c r="B633" s="13">
        <v>8001841625362</v>
      </c>
      <c r="C633" t="s">
        <v>22</v>
      </c>
      <c r="D633">
        <v>2</v>
      </c>
    </row>
    <row r="634" spans="1:4" x14ac:dyDescent="0.45">
      <c r="A634" s="29">
        <v>45821</v>
      </c>
      <c r="B634" s="13">
        <v>8001841893990</v>
      </c>
      <c r="C634" t="s">
        <v>22</v>
      </c>
      <c r="D634">
        <v>2</v>
      </c>
    </row>
    <row r="635" spans="1:4" x14ac:dyDescent="0.45">
      <c r="A635" s="29">
        <v>45821</v>
      </c>
      <c r="B635" s="13">
        <v>8006540429327</v>
      </c>
      <c r="C635" t="s">
        <v>22</v>
      </c>
      <c r="D635">
        <v>10</v>
      </c>
    </row>
    <row r="636" spans="1:4" x14ac:dyDescent="0.45">
      <c r="A636" s="29">
        <v>45821</v>
      </c>
      <c r="B636" s="13">
        <v>8700216163811</v>
      </c>
      <c r="C636" t="s">
        <v>22</v>
      </c>
      <c r="D636">
        <v>8</v>
      </c>
    </row>
    <row r="637" spans="1:4" x14ac:dyDescent="0.45">
      <c r="A637" s="29">
        <v>45821</v>
      </c>
      <c r="B637" s="13">
        <v>8700216236034</v>
      </c>
      <c r="C637" t="s">
        <v>22</v>
      </c>
      <c r="D637">
        <v>2</v>
      </c>
    </row>
    <row r="638" spans="1:4" x14ac:dyDescent="0.45">
      <c r="A638" s="29">
        <v>45821</v>
      </c>
      <c r="B638" s="13">
        <v>8700216236751</v>
      </c>
      <c r="C638" t="s">
        <v>22</v>
      </c>
      <c r="D638">
        <v>2</v>
      </c>
    </row>
    <row r="639" spans="1:4" x14ac:dyDescent="0.45">
      <c r="A639" s="29">
        <v>45822</v>
      </c>
      <c r="B639" s="13">
        <v>4084500088917</v>
      </c>
      <c r="C639" t="s">
        <v>22</v>
      </c>
      <c r="D639" s="27">
        <v>8</v>
      </c>
    </row>
    <row r="640" spans="1:4" x14ac:dyDescent="0.45">
      <c r="A640" s="29">
        <v>45822</v>
      </c>
      <c r="B640" s="13">
        <v>4084500853836</v>
      </c>
      <c r="C640" t="s">
        <v>22</v>
      </c>
      <c r="D640" s="26">
        <v>8</v>
      </c>
    </row>
    <row r="641" spans="1:4" x14ac:dyDescent="0.45">
      <c r="A641" s="29">
        <v>45822</v>
      </c>
      <c r="B641" s="13">
        <v>7290000286921</v>
      </c>
      <c r="C641" t="s">
        <v>22</v>
      </c>
      <c r="D641" s="27">
        <v>4</v>
      </c>
    </row>
    <row r="642" spans="1:4" x14ac:dyDescent="0.45">
      <c r="A642" s="29">
        <v>45822</v>
      </c>
      <c r="B642" s="13">
        <v>7290000288024</v>
      </c>
      <c r="C642" t="s">
        <v>22</v>
      </c>
      <c r="D642" s="26">
        <v>10</v>
      </c>
    </row>
    <row r="643" spans="1:4" x14ac:dyDescent="0.45">
      <c r="A643" s="29">
        <v>45822</v>
      </c>
      <c r="B643" s="13">
        <v>7290000288307</v>
      </c>
      <c r="C643" t="s">
        <v>22</v>
      </c>
      <c r="D643" s="27">
        <v>2</v>
      </c>
    </row>
    <row r="644" spans="1:4" x14ac:dyDescent="0.45">
      <c r="A644" s="29">
        <v>45822</v>
      </c>
      <c r="B644" s="13">
        <v>7290000288659</v>
      </c>
      <c r="C644" t="s">
        <v>22</v>
      </c>
      <c r="D644" s="26">
        <v>3</v>
      </c>
    </row>
    <row r="645" spans="1:4" x14ac:dyDescent="0.45">
      <c r="A645" s="29">
        <v>45822</v>
      </c>
      <c r="B645" s="13">
        <v>7290000292915</v>
      </c>
      <c r="C645" t="s">
        <v>22</v>
      </c>
      <c r="D645" s="27">
        <v>6</v>
      </c>
    </row>
    <row r="646" spans="1:4" x14ac:dyDescent="0.45">
      <c r="A646" s="29">
        <v>45822</v>
      </c>
      <c r="B646" s="13">
        <v>7290000294780</v>
      </c>
      <c r="C646" t="s">
        <v>22</v>
      </c>
      <c r="D646" s="26">
        <v>10</v>
      </c>
    </row>
    <row r="647" spans="1:4" x14ac:dyDescent="0.45">
      <c r="A647" s="29">
        <v>45822</v>
      </c>
      <c r="B647" s="13">
        <v>7290000295367</v>
      </c>
      <c r="C647" t="s">
        <v>22</v>
      </c>
      <c r="D647" s="27">
        <v>2</v>
      </c>
    </row>
    <row r="648" spans="1:4" x14ac:dyDescent="0.45">
      <c r="A648" s="29">
        <v>45822</v>
      </c>
      <c r="B648" s="13">
        <v>7290000295541</v>
      </c>
      <c r="C648" t="s">
        <v>22</v>
      </c>
      <c r="D648" s="26">
        <v>2</v>
      </c>
    </row>
    <row r="649" spans="1:4" x14ac:dyDescent="0.45">
      <c r="A649" s="29">
        <v>45822</v>
      </c>
      <c r="B649" s="13">
        <v>7290001246610</v>
      </c>
      <c r="C649" t="s">
        <v>22</v>
      </c>
      <c r="D649" s="27">
        <v>4</v>
      </c>
    </row>
    <row r="650" spans="1:4" x14ac:dyDescent="0.45">
      <c r="A650" s="29">
        <v>45822</v>
      </c>
      <c r="B650" s="13">
        <v>7290005424700</v>
      </c>
      <c r="C650" t="s">
        <v>22</v>
      </c>
      <c r="D650" s="26">
        <v>2</v>
      </c>
    </row>
    <row r="651" spans="1:4" x14ac:dyDescent="0.45">
      <c r="A651" s="29">
        <v>45822</v>
      </c>
      <c r="B651" s="13">
        <v>7290005425110</v>
      </c>
      <c r="C651" t="s">
        <v>22</v>
      </c>
      <c r="D651" s="27">
        <v>4</v>
      </c>
    </row>
    <row r="652" spans="1:4" x14ac:dyDescent="0.45">
      <c r="A652" s="29">
        <v>45822</v>
      </c>
      <c r="B652" s="13">
        <v>7290005425196</v>
      </c>
      <c r="C652" t="s">
        <v>22</v>
      </c>
      <c r="D652" s="26">
        <v>4</v>
      </c>
    </row>
    <row r="653" spans="1:4" x14ac:dyDescent="0.45">
      <c r="A653" s="29">
        <v>45822</v>
      </c>
      <c r="B653" s="13">
        <v>7290012116025</v>
      </c>
      <c r="C653" t="s">
        <v>22</v>
      </c>
      <c r="D653" s="27">
        <v>2</v>
      </c>
    </row>
    <row r="654" spans="1:4" x14ac:dyDescent="0.45">
      <c r="A654" s="29">
        <v>45822</v>
      </c>
      <c r="B654" s="13">
        <v>7290012117534</v>
      </c>
      <c r="C654" t="s">
        <v>22</v>
      </c>
      <c r="D654" s="26">
        <v>2</v>
      </c>
    </row>
    <row r="655" spans="1:4" x14ac:dyDescent="0.45">
      <c r="A655" s="29">
        <v>45822</v>
      </c>
      <c r="B655" s="13">
        <v>7290013268204</v>
      </c>
      <c r="C655" t="s">
        <v>22</v>
      </c>
      <c r="D655" s="27">
        <v>2</v>
      </c>
    </row>
    <row r="656" spans="1:4" x14ac:dyDescent="0.45">
      <c r="A656" s="29">
        <v>45822</v>
      </c>
      <c r="B656" s="13">
        <v>7290013268891</v>
      </c>
      <c r="C656" t="s">
        <v>22</v>
      </c>
      <c r="D656" s="26">
        <v>2</v>
      </c>
    </row>
    <row r="657" spans="1:4" x14ac:dyDescent="0.45">
      <c r="A657" s="29">
        <v>45822</v>
      </c>
      <c r="B657" s="13">
        <v>7290013269003</v>
      </c>
      <c r="C657" t="s">
        <v>22</v>
      </c>
      <c r="D657" s="27">
        <v>4</v>
      </c>
    </row>
    <row r="658" spans="1:4" x14ac:dyDescent="0.45">
      <c r="A658" s="29">
        <v>45822</v>
      </c>
      <c r="B658" s="13">
        <v>7290014397453</v>
      </c>
      <c r="C658" t="s">
        <v>22</v>
      </c>
      <c r="D658" s="26">
        <v>2</v>
      </c>
    </row>
    <row r="659" spans="1:4" x14ac:dyDescent="0.45">
      <c r="A659" s="29">
        <v>45822</v>
      </c>
      <c r="B659" s="13">
        <v>7290019274483</v>
      </c>
      <c r="C659" t="s">
        <v>22</v>
      </c>
      <c r="D659" s="27">
        <v>4</v>
      </c>
    </row>
    <row r="660" spans="1:4" x14ac:dyDescent="0.45">
      <c r="A660" s="29">
        <v>45822</v>
      </c>
      <c r="B660" s="13">
        <v>7290019274490</v>
      </c>
      <c r="C660" t="s">
        <v>22</v>
      </c>
      <c r="D660" s="26">
        <v>2</v>
      </c>
    </row>
    <row r="661" spans="1:4" x14ac:dyDescent="0.45">
      <c r="A661" s="29">
        <v>45822</v>
      </c>
      <c r="B661" s="13">
        <v>7290019611325</v>
      </c>
      <c r="C661" t="s">
        <v>22</v>
      </c>
      <c r="D661" s="27">
        <v>2</v>
      </c>
    </row>
    <row r="662" spans="1:4" x14ac:dyDescent="0.45">
      <c r="A662" s="29">
        <v>45822</v>
      </c>
      <c r="B662" s="13">
        <v>7290103702489</v>
      </c>
      <c r="C662" t="s">
        <v>22</v>
      </c>
      <c r="D662" s="26">
        <v>10</v>
      </c>
    </row>
    <row r="663" spans="1:4" x14ac:dyDescent="0.45">
      <c r="A663" s="29">
        <v>45822</v>
      </c>
      <c r="B663" s="13">
        <v>7290103703370</v>
      </c>
      <c r="C663" t="s">
        <v>22</v>
      </c>
      <c r="D663" s="27">
        <v>10</v>
      </c>
    </row>
    <row r="664" spans="1:4" x14ac:dyDescent="0.45">
      <c r="A664" s="29">
        <v>45822</v>
      </c>
      <c r="B664" s="13">
        <v>7290103704155</v>
      </c>
      <c r="C664" t="s">
        <v>22</v>
      </c>
      <c r="D664" s="26">
        <v>8</v>
      </c>
    </row>
    <row r="665" spans="1:4" x14ac:dyDescent="0.45">
      <c r="A665" s="29">
        <v>45822</v>
      </c>
      <c r="B665" s="13">
        <v>7290103704179</v>
      </c>
      <c r="C665" t="s">
        <v>22</v>
      </c>
      <c r="D665" s="27">
        <v>10</v>
      </c>
    </row>
    <row r="666" spans="1:4" x14ac:dyDescent="0.45">
      <c r="A666" s="29">
        <v>45822</v>
      </c>
      <c r="B666" s="13">
        <v>7290103704919</v>
      </c>
      <c r="C666" t="s">
        <v>22</v>
      </c>
      <c r="D666" s="26">
        <v>10</v>
      </c>
    </row>
    <row r="667" spans="1:4" x14ac:dyDescent="0.45">
      <c r="A667" s="29">
        <v>45822</v>
      </c>
      <c r="B667" s="13">
        <v>7290107280099</v>
      </c>
      <c r="C667" t="s">
        <v>22</v>
      </c>
      <c r="D667" s="27">
        <v>3</v>
      </c>
    </row>
    <row r="668" spans="1:4" x14ac:dyDescent="0.45">
      <c r="A668" s="29">
        <v>45822</v>
      </c>
      <c r="B668" s="13">
        <v>7290108351699</v>
      </c>
      <c r="C668" t="s">
        <v>22</v>
      </c>
      <c r="D668" s="26">
        <v>4</v>
      </c>
    </row>
    <row r="669" spans="1:4" x14ac:dyDescent="0.45">
      <c r="A669" s="29">
        <v>45822</v>
      </c>
      <c r="B669" s="13">
        <v>7290108352702</v>
      </c>
      <c r="C669" t="s">
        <v>22</v>
      </c>
      <c r="D669" s="27">
        <v>2</v>
      </c>
    </row>
    <row r="670" spans="1:4" x14ac:dyDescent="0.45">
      <c r="A670" s="29">
        <v>45822</v>
      </c>
      <c r="B670" s="13">
        <v>7290108356298</v>
      </c>
      <c r="C670" t="s">
        <v>22</v>
      </c>
      <c r="D670" s="26">
        <v>6</v>
      </c>
    </row>
    <row r="671" spans="1:4" x14ac:dyDescent="0.45">
      <c r="A671" s="29">
        <v>45822</v>
      </c>
      <c r="B671" s="13">
        <v>7290108356700</v>
      </c>
      <c r="C671" t="s">
        <v>22</v>
      </c>
      <c r="D671" s="27">
        <v>2</v>
      </c>
    </row>
    <row r="672" spans="1:4" x14ac:dyDescent="0.45">
      <c r="A672" s="29">
        <v>45822</v>
      </c>
      <c r="B672" s="13">
        <v>7290108356717</v>
      </c>
      <c r="C672" t="s">
        <v>22</v>
      </c>
      <c r="D672" s="26">
        <v>6</v>
      </c>
    </row>
    <row r="673" spans="1:4" x14ac:dyDescent="0.45">
      <c r="A673" s="29">
        <v>45822</v>
      </c>
      <c r="B673" s="13">
        <v>7290108356724</v>
      </c>
      <c r="C673" t="s">
        <v>22</v>
      </c>
      <c r="D673" s="27">
        <v>6</v>
      </c>
    </row>
    <row r="674" spans="1:4" x14ac:dyDescent="0.45">
      <c r="A674" s="29">
        <v>45822</v>
      </c>
      <c r="B674" s="13">
        <v>7290108357240</v>
      </c>
      <c r="C674" t="s">
        <v>22</v>
      </c>
      <c r="D674" s="26">
        <v>2</v>
      </c>
    </row>
    <row r="675" spans="1:4" x14ac:dyDescent="0.45">
      <c r="A675" s="29">
        <v>45822</v>
      </c>
      <c r="B675" s="13">
        <v>7290108357288</v>
      </c>
      <c r="C675" t="s">
        <v>22</v>
      </c>
      <c r="D675" s="27">
        <v>10</v>
      </c>
    </row>
    <row r="676" spans="1:4" x14ac:dyDescent="0.45">
      <c r="A676" s="29">
        <v>45822</v>
      </c>
      <c r="B676" s="13">
        <v>7290108357844</v>
      </c>
      <c r="C676" t="s">
        <v>22</v>
      </c>
      <c r="D676" s="26">
        <v>2</v>
      </c>
    </row>
    <row r="677" spans="1:4" x14ac:dyDescent="0.45">
      <c r="A677" s="29">
        <v>45822</v>
      </c>
      <c r="B677" s="13">
        <v>7290108359077</v>
      </c>
      <c r="C677" t="s">
        <v>22</v>
      </c>
      <c r="D677" s="27">
        <v>3</v>
      </c>
    </row>
    <row r="678" spans="1:4" x14ac:dyDescent="0.45">
      <c r="A678" s="29">
        <v>45822</v>
      </c>
      <c r="B678" s="13">
        <v>7290108359176</v>
      </c>
      <c r="C678" t="s">
        <v>22</v>
      </c>
      <c r="D678" s="26">
        <v>2</v>
      </c>
    </row>
    <row r="679" spans="1:4" x14ac:dyDescent="0.45">
      <c r="A679" s="29">
        <v>45822</v>
      </c>
      <c r="B679" s="13">
        <v>7290108359190</v>
      </c>
      <c r="C679" t="s">
        <v>22</v>
      </c>
      <c r="D679" s="27">
        <v>3</v>
      </c>
    </row>
    <row r="680" spans="1:4" x14ac:dyDescent="0.45">
      <c r="A680" s="29">
        <v>45822</v>
      </c>
      <c r="B680" s="13">
        <v>8001090184375</v>
      </c>
      <c r="C680" t="s">
        <v>22</v>
      </c>
      <c r="D680" s="26">
        <v>3</v>
      </c>
    </row>
    <row r="681" spans="1:4" x14ac:dyDescent="0.45">
      <c r="A681" s="29">
        <v>45822</v>
      </c>
      <c r="B681" s="13">
        <v>8001090184412</v>
      </c>
      <c r="C681" t="s">
        <v>22</v>
      </c>
      <c r="D681" s="27">
        <v>10</v>
      </c>
    </row>
    <row r="682" spans="1:4" x14ac:dyDescent="0.45">
      <c r="A682" s="29">
        <v>45822</v>
      </c>
      <c r="B682" s="13">
        <v>8001841625362</v>
      </c>
      <c r="C682" t="s">
        <v>22</v>
      </c>
      <c r="D682" s="26">
        <v>4</v>
      </c>
    </row>
    <row r="683" spans="1:4" x14ac:dyDescent="0.45">
      <c r="A683" s="29">
        <v>45822</v>
      </c>
      <c r="B683" s="13">
        <v>8001841893990</v>
      </c>
      <c r="C683" t="s">
        <v>22</v>
      </c>
      <c r="D683" s="27">
        <v>2</v>
      </c>
    </row>
    <row r="684" spans="1:4" x14ac:dyDescent="0.45">
      <c r="A684" s="29">
        <v>45822</v>
      </c>
      <c r="B684" s="13">
        <v>8006540429327</v>
      </c>
      <c r="C684" t="s">
        <v>22</v>
      </c>
      <c r="D684" s="26">
        <v>10</v>
      </c>
    </row>
    <row r="685" spans="1:4" x14ac:dyDescent="0.45">
      <c r="A685" s="29">
        <v>45822</v>
      </c>
      <c r="B685" s="13">
        <v>8700216163811</v>
      </c>
      <c r="C685" t="s">
        <v>22</v>
      </c>
      <c r="D685" s="27">
        <v>10</v>
      </c>
    </row>
    <row r="686" spans="1:4" x14ac:dyDescent="0.45">
      <c r="A686" s="29">
        <v>45822</v>
      </c>
      <c r="B686" s="13">
        <v>8700216236034</v>
      </c>
      <c r="C686" t="s">
        <v>22</v>
      </c>
      <c r="D686" s="26">
        <v>3</v>
      </c>
    </row>
    <row r="687" spans="1:4" x14ac:dyDescent="0.45">
      <c r="A687" s="29">
        <v>45822</v>
      </c>
      <c r="B687" s="13">
        <v>8700216236751</v>
      </c>
      <c r="C687" t="s">
        <v>22</v>
      </c>
      <c r="D687" s="27">
        <v>2</v>
      </c>
    </row>
    <row r="688" spans="1:4" x14ac:dyDescent="0.45">
      <c r="A688" s="29">
        <v>45823</v>
      </c>
      <c r="B688" s="13">
        <v>4084500088917</v>
      </c>
      <c r="C688" t="s">
        <v>22</v>
      </c>
      <c r="D688">
        <v>4</v>
      </c>
    </row>
    <row r="689" spans="1:4" x14ac:dyDescent="0.45">
      <c r="A689" s="29">
        <v>45823</v>
      </c>
      <c r="B689" s="13">
        <v>4084500853836</v>
      </c>
      <c r="C689" t="s">
        <v>22</v>
      </c>
      <c r="D689">
        <v>5</v>
      </c>
    </row>
    <row r="690" spans="1:4" x14ac:dyDescent="0.45">
      <c r="A690" s="29">
        <v>45823</v>
      </c>
      <c r="B690" s="13">
        <v>7290000286921</v>
      </c>
      <c r="C690" t="s">
        <v>22</v>
      </c>
      <c r="D690">
        <v>0</v>
      </c>
    </row>
    <row r="691" spans="1:4" x14ac:dyDescent="0.45">
      <c r="A691" s="29">
        <v>45823</v>
      </c>
      <c r="B691" s="13">
        <v>7290000288024</v>
      </c>
      <c r="C691" t="s">
        <v>22</v>
      </c>
      <c r="D691">
        <v>4</v>
      </c>
    </row>
    <row r="692" spans="1:4" x14ac:dyDescent="0.45">
      <c r="A692" s="29">
        <v>45823</v>
      </c>
      <c r="B692" s="13">
        <v>7290000288307</v>
      </c>
      <c r="C692" t="s">
        <v>22</v>
      </c>
      <c r="D692">
        <v>0</v>
      </c>
    </row>
    <row r="693" spans="1:4" x14ac:dyDescent="0.45">
      <c r="A693" s="29">
        <v>45823</v>
      </c>
      <c r="B693" s="13">
        <v>7290000288659</v>
      </c>
      <c r="C693" t="s">
        <v>22</v>
      </c>
      <c r="D693">
        <v>1</v>
      </c>
    </row>
    <row r="694" spans="1:4" x14ac:dyDescent="0.45">
      <c r="A694" s="29">
        <v>45823</v>
      </c>
      <c r="B694" s="13">
        <v>7290000292915</v>
      </c>
      <c r="C694" t="s">
        <v>22</v>
      </c>
      <c r="D694">
        <v>2</v>
      </c>
    </row>
    <row r="695" spans="1:4" x14ac:dyDescent="0.45">
      <c r="A695" s="29">
        <v>45823</v>
      </c>
      <c r="B695" s="13">
        <v>7290000294780</v>
      </c>
      <c r="C695" t="s">
        <v>22</v>
      </c>
      <c r="D695">
        <v>4</v>
      </c>
    </row>
    <row r="696" spans="1:4" x14ac:dyDescent="0.45">
      <c r="A696" s="29">
        <v>45823</v>
      </c>
      <c r="B696" s="13">
        <v>7290000295367</v>
      </c>
      <c r="C696" t="s">
        <v>22</v>
      </c>
      <c r="D696">
        <v>2</v>
      </c>
    </row>
    <row r="697" spans="1:4" x14ac:dyDescent="0.45">
      <c r="A697" s="29">
        <v>45823</v>
      </c>
      <c r="B697" s="13">
        <v>7290000295541</v>
      </c>
      <c r="C697" t="s">
        <v>22</v>
      </c>
      <c r="D697">
        <v>1</v>
      </c>
    </row>
    <row r="698" spans="1:4" x14ac:dyDescent="0.45">
      <c r="A698" s="29">
        <v>45823</v>
      </c>
      <c r="B698" s="13">
        <v>7290001246610</v>
      </c>
      <c r="C698" t="s">
        <v>22</v>
      </c>
      <c r="D698">
        <v>2</v>
      </c>
    </row>
    <row r="699" spans="1:4" x14ac:dyDescent="0.45">
      <c r="A699" s="29">
        <v>45823</v>
      </c>
      <c r="B699" s="13">
        <v>7290005424700</v>
      </c>
      <c r="C699" t="s">
        <v>22</v>
      </c>
      <c r="D699">
        <v>1</v>
      </c>
    </row>
    <row r="700" spans="1:4" x14ac:dyDescent="0.45">
      <c r="A700" s="29">
        <v>45823</v>
      </c>
      <c r="B700" s="13">
        <v>7290005425110</v>
      </c>
      <c r="C700" t="s">
        <v>22</v>
      </c>
      <c r="D700">
        <v>2</v>
      </c>
    </row>
    <row r="701" spans="1:4" x14ac:dyDescent="0.45">
      <c r="A701" s="29">
        <v>45823</v>
      </c>
      <c r="B701" s="13">
        <v>7290005425196</v>
      </c>
      <c r="C701" t="s">
        <v>22</v>
      </c>
      <c r="D701">
        <v>1</v>
      </c>
    </row>
    <row r="702" spans="1:4" x14ac:dyDescent="0.45">
      <c r="A702" s="29">
        <v>45823</v>
      </c>
      <c r="B702" s="13">
        <v>7290012116025</v>
      </c>
      <c r="C702" t="s">
        <v>22</v>
      </c>
      <c r="D702">
        <v>1</v>
      </c>
    </row>
    <row r="703" spans="1:4" x14ac:dyDescent="0.45">
      <c r="A703" s="29">
        <v>45823</v>
      </c>
      <c r="B703" s="13">
        <v>7290012117534</v>
      </c>
      <c r="C703" t="s">
        <v>22</v>
      </c>
      <c r="D703">
        <v>1</v>
      </c>
    </row>
    <row r="704" spans="1:4" x14ac:dyDescent="0.45">
      <c r="A704" s="29">
        <v>45823</v>
      </c>
      <c r="B704" s="13">
        <v>7290013268204</v>
      </c>
      <c r="C704" t="s">
        <v>22</v>
      </c>
      <c r="D704">
        <v>1</v>
      </c>
    </row>
    <row r="705" spans="1:4" x14ac:dyDescent="0.45">
      <c r="A705" s="29">
        <v>45823</v>
      </c>
      <c r="B705" s="13">
        <v>7290013268891</v>
      </c>
      <c r="C705" t="s">
        <v>22</v>
      </c>
      <c r="D705">
        <v>1</v>
      </c>
    </row>
    <row r="706" spans="1:4" x14ac:dyDescent="0.45">
      <c r="A706" s="29">
        <v>45823</v>
      </c>
      <c r="B706" s="13">
        <v>7290013269003</v>
      </c>
      <c r="C706" t="s">
        <v>22</v>
      </c>
      <c r="D706">
        <v>2</v>
      </c>
    </row>
    <row r="707" spans="1:4" x14ac:dyDescent="0.45">
      <c r="A707" s="29">
        <v>45823</v>
      </c>
      <c r="B707" s="13">
        <v>7290014397453</v>
      </c>
      <c r="C707" t="s">
        <v>22</v>
      </c>
      <c r="D707">
        <v>2</v>
      </c>
    </row>
    <row r="708" spans="1:4" x14ac:dyDescent="0.45">
      <c r="A708" s="29">
        <v>45823</v>
      </c>
      <c r="B708" s="13">
        <v>7290019274483</v>
      </c>
      <c r="C708" t="s">
        <v>22</v>
      </c>
      <c r="D708">
        <v>1</v>
      </c>
    </row>
    <row r="709" spans="1:4" x14ac:dyDescent="0.45">
      <c r="A709" s="29">
        <v>45823</v>
      </c>
      <c r="B709" s="13">
        <v>7290019274490</v>
      </c>
      <c r="C709" t="s">
        <v>22</v>
      </c>
      <c r="D709">
        <v>2</v>
      </c>
    </row>
    <row r="710" spans="1:4" x14ac:dyDescent="0.45">
      <c r="A710" s="29">
        <v>45823</v>
      </c>
      <c r="B710" s="13">
        <v>7290019611325</v>
      </c>
      <c r="C710" t="s">
        <v>22</v>
      </c>
      <c r="D710">
        <v>1</v>
      </c>
    </row>
    <row r="711" spans="1:4" x14ac:dyDescent="0.45">
      <c r="A711" s="29">
        <v>45823</v>
      </c>
      <c r="B711" s="13">
        <v>7290103702489</v>
      </c>
      <c r="C711" t="s">
        <v>22</v>
      </c>
      <c r="D711">
        <v>5</v>
      </c>
    </row>
    <row r="712" spans="1:4" x14ac:dyDescent="0.45">
      <c r="A712" s="29">
        <v>45823</v>
      </c>
      <c r="B712" s="13">
        <v>7290103703370</v>
      </c>
      <c r="C712" t="s">
        <v>22</v>
      </c>
      <c r="D712">
        <v>4</v>
      </c>
    </row>
    <row r="713" spans="1:4" x14ac:dyDescent="0.45">
      <c r="A713" s="29">
        <v>45823</v>
      </c>
      <c r="B713" s="13">
        <v>7290103704155</v>
      </c>
      <c r="C713" t="s">
        <v>22</v>
      </c>
      <c r="D713">
        <v>5</v>
      </c>
    </row>
    <row r="714" spans="1:4" x14ac:dyDescent="0.45">
      <c r="A714" s="29">
        <v>45823</v>
      </c>
      <c r="B714" s="13">
        <v>7290103704179</v>
      </c>
      <c r="C714" t="s">
        <v>22</v>
      </c>
      <c r="D714">
        <v>5</v>
      </c>
    </row>
    <row r="715" spans="1:4" x14ac:dyDescent="0.45">
      <c r="A715" s="29">
        <v>45823</v>
      </c>
      <c r="B715" s="13">
        <v>7290103704919</v>
      </c>
      <c r="C715" t="s">
        <v>22</v>
      </c>
      <c r="D715">
        <v>4</v>
      </c>
    </row>
    <row r="716" spans="1:4" x14ac:dyDescent="0.45">
      <c r="A716" s="29">
        <v>45823</v>
      </c>
      <c r="B716" s="13">
        <v>7290107280099</v>
      </c>
      <c r="C716" t="s">
        <v>22</v>
      </c>
      <c r="D716">
        <v>1</v>
      </c>
    </row>
    <row r="717" spans="1:4" x14ac:dyDescent="0.45">
      <c r="A717" s="29">
        <v>45823</v>
      </c>
      <c r="B717" s="13">
        <v>7290108351699</v>
      </c>
      <c r="C717" t="s">
        <v>22</v>
      </c>
      <c r="D717">
        <v>3</v>
      </c>
    </row>
    <row r="718" spans="1:4" x14ac:dyDescent="0.45">
      <c r="A718" s="29">
        <v>45823</v>
      </c>
      <c r="B718" s="13">
        <v>7290108352702</v>
      </c>
      <c r="C718" t="s">
        <v>22</v>
      </c>
      <c r="D718">
        <v>1</v>
      </c>
    </row>
    <row r="719" spans="1:4" x14ac:dyDescent="0.45">
      <c r="A719" s="29">
        <v>45823</v>
      </c>
      <c r="B719" s="13">
        <v>7290108356298</v>
      </c>
      <c r="C719" t="s">
        <v>22</v>
      </c>
      <c r="D719">
        <v>1</v>
      </c>
    </row>
    <row r="720" spans="1:4" x14ac:dyDescent="0.45">
      <c r="A720" s="29">
        <v>45823</v>
      </c>
      <c r="B720" s="13">
        <v>7290108356700</v>
      </c>
      <c r="C720" t="s">
        <v>22</v>
      </c>
      <c r="D720">
        <v>0</v>
      </c>
    </row>
    <row r="721" spans="1:4" x14ac:dyDescent="0.45">
      <c r="A721" s="29">
        <v>45823</v>
      </c>
      <c r="B721" s="13">
        <v>7290108356717</v>
      </c>
      <c r="C721" t="s">
        <v>22</v>
      </c>
      <c r="D721">
        <v>3</v>
      </c>
    </row>
    <row r="722" spans="1:4" x14ac:dyDescent="0.45">
      <c r="A722" s="29">
        <v>45823</v>
      </c>
      <c r="B722" s="13">
        <v>7290108356724</v>
      </c>
      <c r="C722" t="s">
        <v>22</v>
      </c>
      <c r="D722">
        <v>1</v>
      </c>
    </row>
    <row r="723" spans="1:4" x14ac:dyDescent="0.45">
      <c r="A723" s="29">
        <v>45823</v>
      </c>
      <c r="B723" s="13">
        <v>7290108357240</v>
      </c>
      <c r="C723" t="s">
        <v>22</v>
      </c>
      <c r="D723">
        <v>2</v>
      </c>
    </row>
    <row r="724" spans="1:4" x14ac:dyDescent="0.45">
      <c r="A724" s="29">
        <v>45823</v>
      </c>
      <c r="B724" s="13">
        <v>7290108357288</v>
      </c>
      <c r="C724" t="s">
        <v>22</v>
      </c>
      <c r="D724">
        <v>5</v>
      </c>
    </row>
    <row r="725" spans="1:4" x14ac:dyDescent="0.45">
      <c r="A725" s="29">
        <v>45823</v>
      </c>
      <c r="B725" s="13">
        <v>7290108357844</v>
      </c>
      <c r="C725" t="s">
        <v>22</v>
      </c>
      <c r="D725">
        <v>1</v>
      </c>
    </row>
    <row r="726" spans="1:4" x14ac:dyDescent="0.45">
      <c r="A726" s="29">
        <v>45823</v>
      </c>
      <c r="B726" s="13">
        <v>7290108359077</v>
      </c>
      <c r="C726" t="s">
        <v>22</v>
      </c>
      <c r="D726">
        <v>1</v>
      </c>
    </row>
    <row r="727" spans="1:4" x14ac:dyDescent="0.45">
      <c r="A727" s="29">
        <v>45823</v>
      </c>
      <c r="B727" s="13">
        <v>7290108359176</v>
      </c>
      <c r="C727" t="s">
        <v>22</v>
      </c>
      <c r="D727">
        <v>1</v>
      </c>
    </row>
    <row r="728" spans="1:4" x14ac:dyDescent="0.45">
      <c r="A728" s="29">
        <v>45823</v>
      </c>
      <c r="B728" s="13">
        <v>7290108359190</v>
      </c>
      <c r="C728" t="s">
        <v>22</v>
      </c>
      <c r="D728">
        <v>0</v>
      </c>
    </row>
    <row r="729" spans="1:4" x14ac:dyDescent="0.45">
      <c r="A729" s="29">
        <v>45823</v>
      </c>
      <c r="B729" s="13">
        <v>8001090184375</v>
      </c>
      <c r="C729" t="s">
        <v>22</v>
      </c>
      <c r="D729">
        <v>0</v>
      </c>
    </row>
    <row r="730" spans="1:4" x14ac:dyDescent="0.45">
      <c r="A730" s="29">
        <v>45823</v>
      </c>
      <c r="B730" s="13">
        <v>8001090184412</v>
      </c>
      <c r="C730" t="s">
        <v>22</v>
      </c>
      <c r="D730">
        <v>5</v>
      </c>
    </row>
    <row r="731" spans="1:4" x14ac:dyDescent="0.45">
      <c r="A731" s="29">
        <v>45823</v>
      </c>
      <c r="B731" s="13">
        <v>8001841625362</v>
      </c>
      <c r="C731" t="s">
        <v>22</v>
      </c>
      <c r="D731">
        <v>1</v>
      </c>
    </row>
    <row r="732" spans="1:4" x14ac:dyDescent="0.45">
      <c r="A732" s="29">
        <v>45823</v>
      </c>
      <c r="B732" s="13">
        <v>8001841893990</v>
      </c>
      <c r="C732" t="s">
        <v>22</v>
      </c>
      <c r="D732">
        <v>0</v>
      </c>
    </row>
    <row r="733" spans="1:4" x14ac:dyDescent="0.45">
      <c r="A733" s="29">
        <v>45823</v>
      </c>
      <c r="B733" s="13">
        <v>8006540429327</v>
      </c>
      <c r="C733" t="s">
        <v>22</v>
      </c>
      <c r="D733">
        <v>4</v>
      </c>
    </row>
    <row r="734" spans="1:4" x14ac:dyDescent="0.45">
      <c r="A734" s="29">
        <v>45823</v>
      </c>
      <c r="B734" s="13">
        <v>8700216163811</v>
      </c>
      <c r="C734" t="s">
        <v>22</v>
      </c>
      <c r="D734">
        <v>4</v>
      </c>
    </row>
    <row r="735" spans="1:4" x14ac:dyDescent="0.45">
      <c r="A735" s="29">
        <v>45823</v>
      </c>
      <c r="B735" s="13">
        <v>8700216236034</v>
      </c>
      <c r="C735" t="s">
        <v>22</v>
      </c>
      <c r="D735">
        <v>1</v>
      </c>
    </row>
    <row r="736" spans="1:4" x14ac:dyDescent="0.45">
      <c r="A736" s="29">
        <v>45823</v>
      </c>
      <c r="B736" s="13">
        <v>8700216236751</v>
      </c>
      <c r="C736" t="s">
        <v>22</v>
      </c>
      <c r="D736">
        <v>2</v>
      </c>
    </row>
    <row r="737" spans="1:4" x14ac:dyDescent="0.45">
      <c r="A737" s="29">
        <v>45824</v>
      </c>
      <c r="B737" s="13">
        <v>4084500088917</v>
      </c>
      <c r="C737" t="s">
        <v>22</v>
      </c>
      <c r="D737">
        <v>5</v>
      </c>
    </row>
    <row r="738" spans="1:4" x14ac:dyDescent="0.45">
      <c r="A738" s="29">
        <v>45824</v>
      </c>
      <c r="B738" s="13">
        <v>4084500853836</v>
      </c>
      <c r="C738" t="s">
        <v>22</v>
      </c>
      <c r="D738">
        <v>5</v>
      </c>
    </row>
    <row r="739" spans="1:4" x14ac:dyDescent="0.45">
      <c r="A739" s="29">
        <v>45824</v>
      </c>
      <c r="B739" s="13">
        <v>7290000286921</v>
      </c>
      <c r="C739" t="s">
        <v>22</v>
      </c>
      <c r="D739">
        <v>0</v>
      </c>
    </row>
    <row r="740" spans="1:4" x14ac:dyDescent="0.45">
      <c r="A740" s="29">
        <v>45824</v>
      </c>
      <c r="B740" s="13">
        <v>7290000288024</v>
      </c>
      <c r="C740" t="s">
        <v>22</v>
      </c>
      <c r="D740">
        <v>5</v>
      </c>
    </row>
    <row r="741" spans="1:4" x14ac:dyDescent="0.45">
      <c r="A741" s="29">
        <v>45824</v>
      </c>
      <c r="B741" s="13">
        <v>7290000288307</v>
      </c>
      <c r="C741" t="s">
        <v>22</v>
      </c>
      <c r="D741">
        <v>1</v>
      </c>
    </row>
    <row r="742" spans="1:4" x14ac:dyDescent="0.45">
      <c r="A742" s="29">
        <v>45824</v>
      </c>
      <c r="B742" s="13">
        <v>7290000288659</v>
      </c>
      <c r="C742" t="s">
        <v>22</v>
      </c>
      <c r="D742">
        <v>0</v>
      </c>
    </row>
    <row r="743" spans="1:4" x14ac:dyDescent="0.45">
      <c r="A743" s="29">
        <v>45824</v>
      </c>
      <c r="B743" s="13">
        <v>7290000292915</v>
      </c>
      <c r="C743" t="s">
        <v>22</v>
      </c>
      <c r="D743">
        <v>1</v>
      </c>
    </row>
    <row r="744" spans="1:4" x14ac:dyDescent="0.45">
      <c r="A744" s="29">
        <v>45824</v>
      </c>
      <c r="B744" s="13">
        <v>7290000294780</v>
      </c>
      <c r="C744" t="s">
        <v>22</v>
      </c>
      <c r="D744">
        <v>5</v>
      </c>
    </row>
    <row r="745" spans="1:4" x14ac:dyDescent="0.45">
      <c r="A745" s="29">
        <v>45824</v>
      </c>
      <c r="B745" s="13">
        <v>7290000295367</v>
      </c>
      <c r="C745" t="s">
        <v>22</v>
      </c>
      <c r="D745">
        <v>1</v>
      </c>
    </row>
    <row r="746" spans="1:4" x14ac:dyDescent="0.45">
      <c r="A746" s="29">
        <v>45824</v>
      </c>
      <c r="B746" s="13">
        <v>7290000295541</v>
      </c>
      <c r="C746" t="s">
        <v>22</v>
      </c>
      <c r="D746">
        <v>0</v>
      </c>
    </row>
    <row r="747" spans="1:4" x14ac:dyDescent="0.45">
      <c r="A747" s="29">
        <v>45824</v>
      </c>
      <c r="B747" s="13">
        <v>7290001246610</v>
      </c>
      <c r="C747" t="s">
        <v>22</v>
      </c>
      <c r="D747">
        <v>2</v>
      </c>
    </row>
    <row r="748" spans="1:4" x14ac:dyDescent="0.45">
      <c r="A748" s="29">
        <v>45824</v>
      </c>
      <c r="B748" s="13">
        <v>7290005424700</v>
      </c>
      <c r="C748" t="s">
        <v>22</v>
      </c>
      <c r="D748">
        <v>2</v>
      </c>
    </row>
    <row r="749" spans="1:4" x14ac:dyDescent="0.45">
      <c r="A749" s="29">
        <v>45824</v>
      </c>
      <c r="B749" s="13">
        <v>7290005425110</v>
      </c>
      <c r="C749" t="s">
        <v>22</v>
      </c>
      <c r="D749">
        <v>2</v>
      </c>
    </row>
    <row r="750" spans="1:4" x14ac:dyDescent="0.45">
      <c r="A750" s="29">
        <v>45824</v>
      </c>
      <c r="B750" s="13">
        <v>7290005425196</v>
      </c>
      <c r="C750" t="s">
        <v>22</v>
      </c>
      <c r="D750">
        <v>1</v>
      </c>
    </row>
    <row r="751" spans="1:4" x14ac:dyDescent="0.45">
      <c r="A751" s="29">
        <v>45824</v>
      </c>
      <c r="B751" s="13">
        <v>7290012116025</v>
      </c>
      <c r="C751" t="s">
        <v>22</v>
      </c>
      <c r="D751">
        <v>3</v>
      </c>
    </row>
    <row r="752" spans="1:4" x14ac:dyDescent="0.45">
      <c r="A752" s="29">
        <v>45824</v>
      </c>
      <c r="B752" s="13">
        <v>7290012117534</v>
      </c>
      <c r="C752" t="s">
        <v>22</v>
      </c>
      <c r="D752">
        <v>1</v>
      </c>
    </row>
    <row r="753" spans="1:4" x14ac:dyDescent="0.45">
      <c r="A753" s="29">
        <v>45824</v>
      </c>
      <c r="B753" s="13">
        <v>7290013268204</v>
      </c>
      <c r="C753" t="s">
        <v>22</v>
      </c>
      <c r="D753">
        <v>1</v>
      </c>
    </row>
    <row r="754" spans="1:4" x14ac:dyDescent="0.45">
      <c r="A754" s="29">
        <v>45824</v>
      </c>
      <c r="B754" s="13">
        <v>7290013268891</v>
      </c>
      <c r="C754" t="s">
        <v>22</v>
      </c>
      <c r="D754">
        <v>1</v>
      </c>
    </row>
    <row r="755" spans="1:4" x14ac:dyDescent="0.45">
      <c r="A755" s="29">
        <v>45824</v>
      </c>
      <c r="B755" s="13">
        <v>7290013269003</v>
      </c>
      <c r="C755" t="s">
        <v>22</v>
      </c>
      <c r="D755">
        <v>1</v>
      </c>
    </row>
    <row r="756" spans="1:4" x14ac:dyDescent="0.45">
      <c r="A756" s="29">
        <v>45824</v>
      </c>
      <c r="B756" s="13">
        <v>7290014397453</v>
      </c>
      <c r="C756" t="s">
        <v>22</v>
      </c>
      <c r="D756">
        <v>1</v>
      </c>
    </row>
    <row r="757" spans="1:4" x14ac:dyDescent="0.45">
      <c r="A757" s="29">
        <v>45824</v>
      </c>
      <c r="B757" s="13">
        <v>7290019274483</v>
      </c>
      <c r="C757" t="s">
        <v>22</v>
      </c>
      <c r="D757">
        <v>1</v>
      </c>
    </row>
    <row r="758" spans="1:4" x14ac:dyDescent="0.45">
      <c r="A758" s="29">
        <v>45824</v>
      </c>
      <c r="B758" s="13">
        <v>7290019274490</v>
      </c>
      <c r="C758" t="s">
        <v>22</v>
      </c>
      <c r="D758">
        <v>1</v>
      </c>
    </row>
    <row r="759" spans="1:4" x14ac:dyDescent="0.45">
      <c r="A759" s="29">
        <v>45824</v>
      </c>
      <c r="B759" s="13">
        <v>7290019611325</v>
      </c>
      <c r="C759" t="s">
        <v>22</v>
      </c>
      <c r="D759">
        <v>2</v>
      </c>
    </row>
    <row r="760" spans="1:4" x14ac:dyDescent="0.45">
      <c r="A760" s="29">
        <v>45824</v>
      </c>
      <c r="B760" s="13">
        <v>7290103702489</v>
      </c>
      <c r="C760" t="s">
        <v>22</v>
      </c>
      <c r="D760">
        <v>5</v>
      </c>
    </row>
    <row r="761" spans="1:4" x14ac:dyDescent="0.45">
      <c r="A761" s="29">
        <v>45824</v>
      </c>
      <c r="B761" s="13">
        <v>7290103703370</v>
      </c>
      <c r="C761" t="s">
        <v>22</v>
      </c>
      <c r="D761">
        <v>5</v>
      </c>
    </row>
    <row r="762" spans="1:4" x14ac:dyDescent="0.45">
      <c r="A762" s="29">
        <v>45824</v>
      </c>
      <c r="B762" s="13">
        <v>7290103704155</v>
      </c>
      <c r="C762" t="s">
        <v>22</v>
      </c>
      <c r="D762">
        <v>5</v>
      </c>
    </row>
    <row r="763" spans="1:4" x14ac:dyDescent="0.45">
      <c r="A763" s="29">
        <v>45824</v>
      </c>
      <c r="B763" s="13">
        <v>7290103704179</v>
      </c>
      <c r="C763" t="s">
        <v>22</v>
      </c>
      <c r="D763">
        <v>5</v>
      </c>
    </row>
    <row r="764" spans="1:4" x14ac:dyDescent="0.45">
      <c r="A764" s="29">
        <v>45824</v>
      </c>
      <c r="B764" s="13">
        <v>7290103704919</v>
      </c>
      <c r="C764" t="s">
        <v>22</v>
      </c>
      <c r="D764">
        <v>4</v>
      </c>
    </row>
    <row r="765" spans="1:4" x14ac:dyDescent="0.45">
      <c r="A765" s="29">
        <v>45824</v>
      </c>
      <c r="B765" s="13">
        <v>7290107280099</v>
      </c>
      <c r="C765" t="s">
        <v>22</v>
      </c>
      <c r="D765">
        <v>0</v>
      </c>
    </row>
    <row r="766" spans="1:4" x14ac:dyDescent="0.45">
      <c r="A766" s="29">
        <v>45824</v>
      </c>
      <c r="B766" s="13">
        <v>7290108351699</v>
      </c>
      <c r="C766" t="s">
        <v>22</v>
      </c>
      <c r="D766">
        <v>2</v>
      </c>
    </row>
    <row r="767" spans="1:4" x14ac:dyDescent="0.45">
      <c r="A767" s="29">
        <v>45824</v>
      </c>
      <c r="B767" s="13">
        <v>7290108352702</v>
      </c>
      <c r="C767" t="s">
        <v>22</v>
      </c>
      <c r="D767">
        <v>0</v>
      </c>
    </row>
    <row r="768" spans="1:4" x14ac:dyDescent="0.45">
      <c r="A768" s="29">
        <v>45824</v>
      </c>
      <c r="B768" s="13">
        <v>7290108356298</v>
      </c>
      <c r="C768" t="s">
        <v>22</v>
      </c>
      <c r="D768">
        <v>3</v>
      </c>
    </row>
    <row r="769" spans="1:4" x14ac:dyDescent="0.45">
      <c r="A769" s="29">
        <v>45824</v>
      </c>
      <c r="B769" s="13">
        <v>7290108356700</v>
      </c>
      <c r="C769" t="s">
        <v>22</v>
      </c>
      <c r="D769">
        <v>1</v>
      </c>
    </row>
    <row r="770" spans="1:4" x14ac:dyDescent="0.45">
      <c r="A770" s="29">
        <v>45824</v>
      </c>
      <c r="B770" s="13">
        <v>7290108356717</v>
      </c>
      <c r="C770" t="s">
        <v>22</v>
      </c>
      <c r="D770">
        <v>3</v>
      </c>
    </row>
    <row r="771" spans="1:4" x14ac:dyDescent="0.45">
      <c r="A771" s="29">
        <v>45824</v>
      </c>
      <c r="B771" s="13">
        <v>7290108356724</v>
      </c>
      <c r="C771" t="s">
        <v>22</v>
      </c>
      <c r="D771">
        <v>1</v>
      </c>
    </row>
    <row r="772" spans="1:4" x14ac:dyDescent="0.45">
      <c r="A772" s="29">
        <v>45824</v>
      </c>
      <c r="B772" s="13">
        <v>7290108357240</v>
      </c>
      <c r="C772" t="s">
        <v>22</v>
      </c>
      <c r="D772">
        <v>2</v>
      </c>
    </row>
    <row r="773" spans="1:4" x14ac:dyDescent="0.45">
      <c r="A773" s="29">
        <v>45824</v>
      </c>
      <c r="B773" s="13">
        <v>7290108357288</v>
      </c>
      <c r="C773" t="s">
        <v>22</v>
      </c>
      <c r="D773">
        <v>4</v>
      </c>
    </row>
    <row r="774" spans="1:4" x14ac:dyDescent="0.45">
      <c r="A774" s="29">
        <v>45824</v>
      </c>
      <c r="B774" s="13">
        <v>7290108357844</v>
      </c>
      <c r="C774" t="s">
        <v>22</v>
      </c>
      <c r="D774">
        <v>3</v>
      </c>
    </row>
    <row r="775" spans="1:4" x14ac:dyDescent="0.45">
      <c r="A775" s="29">
        <v>45824</v>
      </c>
      <c r="B775" s="13">
        <v>7290108359077</v>
      </c>
      <c r="C775" t="s">
        <v>22</v>
      </c>
      <c r="D775">
        <v>0</v>
      </c>
    </row>
    <row r="776" spans="1:4" x14ac:dyDescent="0.45">
      <c r="A776" s="29">
        <v>45824</v>
      </c>
      <c r="B776" s="13">
        <v>7290108359176</v>
      </c>
      <c r="C776" t="s">
        <v>22</v>
      </c>
      <c r="D776">
        <v>0</v>
      </c>
    </row>
    <row r="777" spans="1:4" x14ac:dyDescent="0.45">
      <c r="A777" s="29">
        <v>45824</v>
      </c>
      <c r="B777" s="13">
        <v>7290108359190</v>
      </c>
      <c r="C777" t="s">
        <v>22</v>
      </c>
      <c r="D777">
        <v>0</v>
      </c>
    </row>
    <row r="778" spans="1:4" x14ac:dyDescent="0.45">
      <c r="A778" s="29">
        <v>45824</v>
      </c>
      <c r="B778" s="13">
        <v>8001090184375</v>
      </c>
      <c r="C778" t="s">
        <v>22</v>
      </c>
      <c r="D778">
        <v>0</v>
      </c>
    </row>
    <row r="779" spans="1:4" x14ac:dyDescent="0.45">
      <c r="A779" s="29">
        <v>45824</v>
      </c>
      <c r="B779" s="13">
        <v>8001090184412</v>
      </c>
      <c r="C779" t="s">
        <v>22</v>
      </c>
      <c r="D779">
        <v>4</v>
      </c>
    </row>
    <row r="780" spans="1:4" x14ac:dyDescent="0.45">
      <c r="A780" s="29">
        <v>45824</v>
      </c>
      <c r="B780" s="13">
        <v>8001841625362</v>
      </c>
      <c r="C780" t="s">
        <v>22</v>
      </c>
      <c r="D780">
        <v>2</v>
      </c>
    </row>
    <row r="781" spans="1:4" x14ac:dyDescent="0.45">
      <c r="A781" s="29">
        <v>45824</v>
      </c>
      <c r="B781" s="13">
        <v>8001841893990</v>
      </c>
      <c r="C781" t="s">
        <v>22</v>
      </c>
      <c r="D781">
        <v>1</v>
      </c>
    </row>
    <row r="782" spans="1:4" x14ac:dyDescent="0.45">
      <c r="A782" s="29">
        <v>45824</v>
      </c>
      <c r="B782" s="13">
        <v>8006540429327</v>
      </c>
      <c r="C782" t="s">
        <v>22</v>
      </c>
      <c r="D782">
        <v>4</v>
      </c>
    </row>
    <row r="783" spans="1:4" x14ac:dyDescent="0.45">
      <c r="A783" s="29">
        <v>45824</v>
      </c>
      <c r="B783" s="13">
        <v>8700216163811</v>
      </c>
      <c r="C783" t="s">
        <v>22</v>
      </c>
      <c r="D783">
        <v>4</v>
      </c>
    </row>
    <row r="784" spans="1:4" x14ac:dyDescent="0.45">
      <c r="A784" s="29">
        <v>45824</v>
      </c>
      <c r="B784" s="13">
        <v>8700216236034</v>
      </c>
      <c r="C784" t="s">
        <v>22</v>
      </c>
      <c r="D784">
        <v>1</v>
      </c>
    </row>
    <row r="785" spans="1:4" x14ac:dyDescent="0.45">
      <c r="A785" s="29">
        <v>45824</v>
      </c>
      <c r="B785" s="13">
        <v>8700216236751</v>
      </c>
      <c r="C785" t="s">
        <v>22</v>
      </c>
      <c r="D785">
        <v>2</v>
      </c>
    </row>
    <row r="786" spans="1:4" x14ac:dyDescent="0.45">
      <c r="A786" s="29">
        <v>45825</v>
      </c>
      <c r="B786" s="13">
        <v>4084500088917</v>
      </c>
      <c r="C786" t="s">
        <v>22</v>
      </c>
      <c r="D786">
        <v>5</v>
      </c>
    </row>
    <row r="787" spans="1:4" x14ac:dyDescent="0.45">
      <c r="A787" s="29">
        <v>45825</v>
      </c>
      <c r="B787" s="13">
        <v>4084500853836</v>
      </c>
      <c r="C787" t="s">
        <v>22</v>
      </c>
      <c r="D787">
        <v>5</v>
      </c>
    </row>
    <row r="788" spans="1:4" x14ac:dyDescent="0.45">
      <c r="A788" s="29">
        <v>45825</v>
      </c>
      <c r="B788" s="13">
        <v>7290000286921</v>
      </c>
      <c r="C788" t="s">
        <v>22</v>
      </c>
      <c r="D788">
        <v>2</v>
      </c>
    </row>
    <row r="789" spans="1:4" x14ac:dyDescent="0.45">
      <c r="A789" s="29">
        <v>45825</v>
      </c>
      <c r="B789" s="13">
        <v>7290000288024</v>
      </c>
      <c r="C789" t="s">
        <v>22</v>
      </c>
      <c r="D789">
        <v>4</v>
      </c>
    </row>
    <row r="790" spans="1:4" x14ac:dyDescent="0.45">
      <c r="A790" s="29">
        <v>45825</v>
      </c>
      <c r="B790" s="13">
        <v>7290000288307</v>
      </c>
      <c r="C790" t="s">
        <v>22</v>
      </c>
      <c r="D790">
        <v>0</v>
      </c>
    </row>
    <row r="791" spans="1:4" x14ac:dyDescent="0.45">
      <c r="A791" s="29">
        <v>45825</v>
      </c>
      <c r="B791" s="13">
        <v>7290000288659</v>
      </c>
      <c r="C791" t="s">
        <v>22</v>
      </c>
      <c r="D791">
        <v>0</v>
      </c>
    </row>
    <row r="792" spans="1:4" x14ac:dyDescent="0.45">
      <c r="A792" s="29">
        <v>45825</v>
      </c>
      <c r="B792" s="13">
        <v>7290000292915</v>
      </c>
      <c r="C792" t="s">
        <v>22</v>
      </c>
      <c r="D792">
        <v>2</v>
      </c>
    </row>
    <row r="793" spans="1:4" x14ac:dyDescent="0.45">
      <c r="A793" s="29">
        <v>45825</v>
      </c>
      <c r="B793" s="13">
        <v>7290000294780</v>
      </c>
      <c r="C793" t="s">
        <v>22</v>
      </c>
      <c r="D793">
        <v>4</v>
      </c>
    </row>
    <row r="794" spans="1:4" x14ac:dyDescent="0.45">
      <c r="A794" s="29">
        <v>45825</v>
      </c>
      <c r="B794" s="13">
        <v>7290000295367</v>
      </c>
      <c r="C794" t="s">
        <v>22</v>
      </c>
      <c r="D794">
        <v>1</v>
      </c>
    </row>
    <row r="795" spans="1:4" x14ac:dyDescent="0.45">
      <c r="A795" s="29">
        <v>45825</v>
      </c>
      <c r="B795" s="13">
        <v>7290000295541</v>
      </c>
      <c r="C795" t="s">
        <v>22</v>
      </c>
      <c r="D795">
        <v>0</v>
      </c>
    </row>
    <row r="796" spans="1:4" x14ac:dyDescent="0.45">
      <c r="A796" s="29">
        <v>45825</v>
      </c>
      <c r="B796" s="13">
        <v>7290001246610</v>
      </c>
      <c r="C796" t="s">
        <v>22</v>
      </c>
      <c r="D796">
        <v>1</v>
      </c>
    </row>
    <row r="797" spans="1:4" x14ac:dyDescent="0.45">
      <c r="A797" s="29">
        <v>45825</v>
      </c>
      <c r="B797" s="13">
        <v>7290005424700</v>
      </c>
      <c r="C797" t="s">
        <v>22</v>
      </c>
      <c r="D797">
        <v>3</v>
      </c>
    </row>
    <row r="798" spans="1:4" x14ac:dyDescent="0.45">
      <c r="A798" s="29">
        <v>45825</v>
      </c>
      <c r="B798" s="13">
        <v>7290005425110</v>
      </c>
      <c r="C798" t="s">
        <v>22</v>
      </c>
      <c r="D798">
        <v>1</v>
      </c>
    </row>
    <row r="799" spans="1:4" x14ac:dyDescent="0.45">
      <c r="A799" s="29">
        <v>45825</v>
      </c>
      <c r="B799" s="13">
        <v>7290005425196</v>
      </c>
      <c r="C799" t="s">
        <v>22</v>
      </c>
      <c r="D799">
        <v>1</v>
      </c>
    </row>
    <row r="800" spans="1:4" x14ac:dyDescent="0.45">
      <c r="A800" s="29">
        <v>45825</v>
      </c>
      <c r="B800" s="13">
        <v>7290012116025</v>
      </c>
      <c r="C800" t="s">
        <v>22</v>
      </c>
      <c r="D800">
        <v>3</v>
      </c>
    </row>
    <row r="801" spans="1:4" x14ac:dyDescent="0.45">
      <c r="A801" s="29">
        <v>45825</v>
      </c>
      <c r="B801" s="13">
        <v>7290012117534</v>
      </c>
      <c r="C801" t="s">
        <v>22</v>
      </c>
      <c r="D801">
        <v>1</v>
      </c>
    </row>
    <row r="802" spans="1:4" x14ac:dyDescent="0.45">
      <c r="A802" s="29">
        <v>45825</v>
      </c>
      <c r="B802" s="13">
        <v>7290013268204</v>
      </c>
      <c r="C802" t="s">
        <v>22</v>
      </c>
      <c r="D802">
        <v>1</v>
      </c>
    </row>
    <row r="803" spans="1:4" x14ac:dyDescent="0.45">
      <c r="A803" s="29">
        <v>45825</v>
      </c>
      <c r="B803" s="13">
        <v>7290013268891</v>
      </c>
      <c r="C803" t="s">
        <v>22</v>
      </c>
      <c r="D803">
        <v>1</v>
      </c>
    </row>
    <row r="804" spans="1:4" x14ac:dyDescent="0.45">
      <c r="A804" s="29">
        <v>45825</v>
      </c>
      <c r="B804" s="13">
        <v>7290013269003</v>
      </c>
      <c r="C804" t="s">
        <v>22</v>
      </c>
      <c r="D804">
        <v>2</v>
      </c>
    </row>
    <row r="805" spans="1:4" x14ac:dyDescent="0.45">
      <c r="A805" s="29">
        <v>45825</v>
      </c>
      <c r="B805" s="13">
        <v>7290014397453</v>
      </c>
      <c r="C805" t="s">
        <v>22</v>
      </c>
      <c r="D805">
        <v>1</v>
      </c>
    </row>
    <row r="806" spans="1:4" x14ac:dyDescent="0.45">
      <c r="A806" s="29">
        <v>45825</v>
      </c>
      <c r="B806" s="13">
        <v>7290019274483</v>
      </c>
      <c r="C806" t="s">
        <v>22</v>
      </c>
      <c r="D806">
        <v>2</v>
      </c>
    </row>
    <row r="807" spans="1:4" x14ac:dyDescent="0.45">
      <c r="A807" s="29">
        <v>45825</v>
      </c>
      <c r="B807" s="13">
        <v>7290019274490</v>
      </c>
      <c r="C807" t="s">
        <v>22</v>
      </c>
      <c r="D807">
        <v>1</v>
      </c>
    </row>
    <row r="808" spans="1:4" x14ac:dyDescent="0.45">
      <c r="A808" s="29">
        <v>45825</v>
      </c>
      <c r="B808" s="13">
        <v>7290019611325</v>
      </c>
      <c r="C808" t="s">
        <v>22</v>
      </c>
      <c r="D808">
        <v>1</v>
      </c>
    </row>
    <row r="809" spans="1:4" x14ac:dyDescent="0.45">
      <c r="A809" s="29">
        <v>45825</v>
      </c>
      <c r="B809" s="13">
        <v>7290103702489</v>
      </c>
      <c r="C809" t="s">
        <v>22</v>
      </c>
      <c r="D809">
        <v>5</v>
      </c>
    </row>
    <row r="810" spans="1:4" x14ac:dyDescent="0.45">
      <c r="A810" s="29">
        <v>45825</v>
      </c>
      <c r="B810" s="13">
        <v>7290103703370</v>
      </c>
      <c r="C810" t="s">
        <v>22</v>
      </c>
      <c r="D810">
        <v>4</v>
      </c>
    </row>
    <row r="811" spans="1:4" x14ac:dyDescent="0.45">
      <c r="A811" s="29">
        <v>45825</v>
      </c>
      <c r="B811" s="13">
        <v>7290103704155</v>
      </c>
      <c r="C811" t="s">
        <v>22</v>
      </c>
      <c r="D811">
        <v>4</v>
      </c>
    </row>
    <row r="812" spans="1:4" x14ac:dyDescent="0.45">
      <c r="A812" s="29">
        <v>45825</v>
      </c>
      <c r="B812" s="13">
        <v>7290103704179</v>
      </c>
      <c r="C812" t="s">
        <v>22</v>
      </c>
      <c r="D812">
        <v>5</v>
      </c>
    </row>
    <row r="813" spans="1:4" x14ac:dyDescent="0.45">
      <c r="A813" s="29">
        <v>45825</v>
      </c>
      <c r="B813" s="13">
        <v>7290103704919</v>
      </c>
      <c r="C813" t="s">
        <v>22</v>
      </c>
      <c r="D813">
        <v>4</v>
      </c>
    </row>
    <row r="814" spans="1:4" x14ac:dyDescent="0.45">
      <c r="A814" s="29">
        <v>45825</v>
      </c>
      <c r="B814" s="13">
        <v>7290107280099</v>
      </c>
      <c r="C814" t="s">
        <v>22</v>
      </c>
      <c r="D814">
        <v>1</v>
      </c>
    </row>
    <row r="815" spans="1:4" x14ac:dyDescent="0.45">
      <c r="A815" s="29">
        <v>45825</v>
      </c>
      <c r="B815" s="13">
        <v>7290108351699</v>
      </c>
      <c r="C815" t="s">
        <v>22</v>
      </c>
      <c r="D815">
        <v>1</v>
      </c>
    </row>
    <row r="816" spans="1:4" x14ac:dyDescent="0.45">
      <c r="A816" s="29">
        <v>45825</v>
      </c>
      <c r="B816" s="13">
        <v>7290108352702</v>
      </c>
      <c r="C816" t="s">
        <v>22</v>
      </c>
      <c r="D816">
        <v>0</v>
      </c>
    </row>
    <row r="817" spans="1:4" x14ac:dyDescent="0.45">
      <c r="A817" s="29">
        <v>45825</v>
      </c>
      <c r="B817" s="13">
        <v>7290108356298</v>
      </c>
      <c r="C817" t="s">
        <v>22</v>
      </c>
      <c r="D817">
        <v>3</v>
      </c>
    </row>
    <row r="818" spans="1:4" x14ac:dyDescent="0.45">
      <c r="A818" s="29">
        <v>45825</v>
      </c>
      <c r="B818" s="13">
        <v>7290108356700</v>
      </c>
      <c r="C818" t="s">
        <v>22</v>
      </c>
      <c r="D818">
        <v>1</v>
      </c>
    </row>
    <row r="819" spans="1:4" x14ac:dyDescent="0.45">
      <c r="A819" s="29">
        <v>45825</v>
      </c>
      <c r="B819" s="13">
        <v>7290108356717</v>
      </c>
      <c r="C819" t="s">
        <v>22</v>
      </c>
      <c r="D819">
        <v>1</v>
      </c>
    </row>
    <row r="820" spans="1:4" x14ac:dyDescent="0.45">
      <c r="A820" s="29">
        <v>45825</v>
      </c>
      <c r="B820" s="13">
        <v>7290108356724</v>
      </c>
      <c r="C820" t="s">
        <v>22</v>
      </c>
      <c r="D820">
        <v>1</v>
      </c>
    </row>
    <row r="821" spans="1:4" x14ac:dyDescent="0.45">
      <c r="A821" s="29">
        <v>45825</v>
      </c>
      <c r="B821" s="13">
        <v>7290108357240</v>
      </c>
      <c r="C821" t="s">
        <v>22</v>
      </c>
      <c r="D821">
        <v>2</v>
      </c>
    </row>
    <row r="822" spans="1:4" x14ac:dyDescent="0.45">
      <c r="A822" s="29">
        <v>45825</v>
      </c>
      <c r="B822" s="13">
        <v>7290108357288</v>
      </c>
      <c r="C822" t="s">
        <v>22</v>
      </c>
      <c r="D822">
        <v>4</v>
      </c>
    </row>
    <row r="823" spans="1:4" x14ac:dyDescent="0.45">
      <c r="A823" s="29">
        <v>45825</v>
      </c>
      <c r="B823" s="13">
        <v>7290108357844</v>
      </c>
      <c r="C823" t="s">
        <v>22</v>
      </c>
      <c r="D823">
        <v>1</v>
      </c>
    </row>
    <row r="824" spans="1:4" x14ac:dyDescent="0.45">
      <c r="A824" s="29">
        <v>45825</v>
      </c>
      <c r="B824" s="13">
        <v>7290108359077</v>
      </c>
      <c r="C824" t="s">
        <v>22</v>
      </c>
      <c r="D824">
        <v>1</v>
      </c>
    </row>
    <row r="825" spans="1:4" x14ac:dyDescent="0.45">
      <c r="A825" s="29">
        <v>45825</v>
      </c>
      <c r="B825" s="13">
        <v>7290108359176</v>
      </c>
      <c r="C825" t="s">
        <v>22</v>
      </c>
      <c r="D825">
        <v>0</v>
      </c>
    </row>
    <row r="826" spans="1:4" x14ac:dyDescent="0.45">
      <c r="A826" s="29">
        <v>45825</v>
      </c>
      <c r="B826" s="13">
        <v>7290108359190</v>
      </c>
      <c r="C826" t="s">
        <v>22</v>
      </c>
      <c r="D826">
        <v>0</v>
      </c>
    </row>
    <row r="827" spans="1:4" x14ac:dyDescent="0.45">
      <c r="A827" s="29">
        <v>45825</v>
      </c>
      <c r="B827" s="13">
        <v>8001090184375</v>
      </c>
      <c r="C827" t="s">
        <v>22</v>
      </c>
      <c r="D827">
        <v>1</v>
      </c>
    </row>
    <row r="828" spans="1:4" x14ac:dyDescent="0.45">
      <c r="A828" s="29">
        <v>45825</v>
      </c>
      <c r="B828" s="13">
        <v>8001090184412</v>
      </c>
      <c r="C828" t="s">
        <v>22</v>
      </c>
      <c r="D828">
        <v>4</v>
      </c>
    </row>
    <row r="829" spans="1:4" x14ac:dyDescent="0.45">
      <c r="A829" s="29">
        <v>45825</v>
      </c>
      <c r="B829" s="13">
        <v>8001841625362</v>
      </c>
      <c r="C829" t="s">
        <v>22</v>
      </c>
      <c r="D829">
        <v>2</v>
      </c>
    </row>
    <row r="830" spans="1:4" x14ac:dyDescent="0.45">
      <c r="A830" s="29">
        <v>45825</v>
      </c>
      <c r="B830" s="13">
        <v>8001841893990</v>
      </c>
      <c r="C830" t="s">
        <v>22</v>
      </c>
      <c r="D830">
        <v>0</v>
      </c>
    </row>
    <row r="831" spans="1:4" x14ac:dyDescent="0.45">
      <c r="A831" s="29">
        <v>45825</v>
      </c>
      <c r="B831" s="13">
        <v>8006540429327</v>
      </c>
      <c r="C831" t="s">
        <v>22</v>
      </c>
      <c r="D831">
        <v>5</v>
      </c>
    </row>
    <row r="832" spans="1:4" x14ac:dyDescent="0.45">
      <c r="A832" s="29">
        <v>45825</v>
      </c>
      <c r="B832" s="13">
        <v>8700216163811</v>
      </c>
      <c r="C832" t="s">
        <v>22</v>
      </c>
      <c r="D832">
        <v>5</v>
      </c>
    </row>
    <row r="833" spans="1:4" x14ac:dyDescent="0.45">
      <c r="A833" s="29">
        <v>45825</v>
      </c>
      <c r="B833" s="13">
        <v>8700216236034</v>
      </c>
      <c r="C833" t="s">
        <v>22</v>
      </c>
      <c r="D833">
        <v>2</v>
      </c>
    </row>
    <row r="834" spans="1:4" x14ac:dyDescent="0.45">
      <c r="A834" s="29">
        <v>45825</v>
      </c>
      <c r="B834" s="13">
        <v>8700216236751</v>
      </c>
      <c r="C834" t="s">
        <v>22</v>
      </c>
      <c r="D834">
        <v>1</v>
      </c>
    </row>
    <row r="835" spans="1:4" x14ac:dyDescent="0.45">
      <c r="A835" s="29">
        <v>45826</v>
      </c>
      <c r="B835" s="13">
        <v>4084500088917</v>
      </c>
      <c r="C835" t="s">
        <v>22</v>
      </c>
      <c r="D835">
        <v>5</v>
      </c>
    </row>
    <row r="836" spans="1:4" x14ac:dyDescent="0.45">
      <c r="A836" s="29">
        <v>45826</v>
      </c>
      <c r="B836" s="13">
        <v>4084500853836</v>
      </c>
      <c r="C836" t="s">
        <v>22</v>
      </c>
      <c r="D836">
        <v>5</v>
      </c>
    </row>
    <row r="837" spans="1:4" x14ac:dyDescent="0.45">
      <c r="A837" s="29">
        <v>45826</v>
      </c>
      <c r="B837" s="13">
        <v>7290000286921</v>
      </c>
      <c r="C837" t="s">
        <v>22</v>
      </c>
      <c r="D837">
        <v>1</v>
      </c>
    </row>
    <row r="838" spans="1:4" x14ac:dyDescent="0.45">
      <c r="A838" s="29">
        <v>45826</v>
      </c>
      <c r="B838" s="13">
        <v>7290000288024</v>
      </c>
      <c r="C838" t="s">
        <v>22</v>
      </c>
      <c r="D838">
        <v>5</v>
      </c>
    </row>
    <row r="839" spans="1:4" x14ac:dyDescent="0.45">
      <c r="A839" s="29">
        <v>45826</v>
      </c>
      <c r="B839" s="13">
        <v>7290000288307</v>
      </c>
      <c r="C839" t="s">
        <v>22</v>
      </c>
      <c r="D839">
        <v>1</v>
      </c>
    </row>
    <row r="840" spans="1:4" x14ac:dyDescent="0.45">
      <c r="A840" s="29">
        <v>45826</v>
      </c>
      <c r="B840" s="13">
        <v>7290000288659</v>
      </c>
      <c r="C840" t="s">
        <v>22</v>
      </c>
      <c r="D840">
        <v>0</v>
      </c>
    </row>
    <row r="841" spans="1:4" x14ac:dyDescent="0.45">
      <c r="A841" s="29">
        <v>45826</v>
      </c>
      <c r="B841" s="13">
        <v>7290000292915</v>
      </c>
      <c r="C841" t="s">
        <v>22</v>
      </c>
      <c r="D841">
        <v>1</v>
      </c>
    </row>
    <row r="842" spans="1:4" x14ac:dyDescent="0.45">
      <c r="A842" s="29">
        <v>45826</v>
      </c>
      <c r="B842" s="13">
        <v>7290000294780</v>
      </c>
      <c r="C842" t="s">
        <v>22</v>
      </c>
      <c r="D842">
        <v>5</v>
      </c>
    </row>
    <row r="843" spans="1:4" x14ac:dyDescent="0.45">
      <c r="A843" s="29">
        <v>45826</v>
      </c>
      <c r="B843" s="13">
        <v>7290000295367</v>
      </c>
      <c r="C843" t="s">
        <v>22</v>
      </c>
      <c r="D843">
        <v>3</v>
      </c>
    </row>
    <row r="844" spans="1:4" x14ac:dyDescent="0.45">
      <c r="A844" s="29">
        <v>45826</v>
      </c>
      <c r="B844" s="13">
        <v>7290000295541</v>
      </c>
      <c r="C844" t="s">
        <v>22</v>
      </c>
      <c r="D844">
        <v>0</v>
      </c>
    </row>
    <row r="845" spans="1:4" x14ac:dyDescent="0.45">
      <c r="A845" s="29">
        <v>45826</v>
      </c>
      <c r="B845" s="13">
        <v>7290001246610</v>
      </c>
      <c r="C845" t="s">
        <v>22</v>
      </c>
      <c r="D845">
        <v>3</v>
      </c>
    </row>
    <row r="846" spans="1:4" x14ac:dyDescent="0.45">
      <c r="A846" s="29">
        <v>45826</v>
      </c>
      <c r="B846" s="13">
        <v>7290005424700</v>
      </c>
      <c r="C846" t="s">
        <v>22</v>
      </c>
      <c r="D846">
        <v>1</v>
      </c>
    </row>
    <row r="847" spans="1:4" x14ac:dyDescent="0.45">
      <c r="A847" s="29">
        <v>45826</v>
      </c>
      <c r="B847" s="13">
        <v>7290005425110</v>
      </c>
      <c r="C847" t="s">
        <v>22</v>
      </c>
      <c r="D847">
        <v>2</v>
      </c>
    </row>
    <row r="848" spans="1:4" x14ac:dyDescent="0.45">
      <c r="A848" s="29">
        <v>45826</v>
      </c>
      <c r="B848" s="13">
        <v>7290005425196</v>
      </c>
      <c r="C848" t="s">
        <v>22</v>
      </c>
      <c r="D848">
        <v>2</v>
      </c>
    </row>
    <row r="849" spans="1:4" x14ac:dyDescent="0.45">
      <c r="A849" s="29">
        <v>45826</v>
      </c>
      <c r="B849" s="13">
        <v>7290012116025</v>
      </c>
      <c r="C849" t="s">
        <v>22</v>
      </c>
      <c r="D849">
        <v>2</v>
      </c>
    </row>
    <row r="850" spans="1:4" x14ac:dyDescent="0.45">
      <c r="A850" s="29">
        <v>45826</v>
      </c>
      <c r="B850" s="13">
        <v>7290012117534</v>
      </c>
      <c r="C850" t="s">
        <v>22</v>
      </c>
      <c r="D850">
        <v>3</v>
      </c>
    </row>
    <row r="851" spans="1:4" x14ac:dyDescent="0.45">
      <c r="A851" s="29">
        <v>45826</v>
      </c>
      <c r="B851" s="13">
        <v>7290013268204</v>
      </c>
      <c r="C851" t="s">
        <v>22</v>
      </c>
      <c r="D851">
        <v>1</v>
      </c>
    </row>
    <row r="852" spans="1:4" x14ac:dyDescent="0.45">
      <c r="A852" s="29">
        <v>45826</v>
      </c>
      <c r="B852" s="13">
        <v>7290013268891</v>
      </c>
      <c r="C852" t="s">
        <v>22</v>
      </c>
      <c r="D852">
        <v>3</v>
      </c>
    </row>
    <row r="853" spans="1:4" x14ac:dyDescent="0.45">
      <c r="A853" s="29">
        <v>45826</v>
      </c>
      <c r="B853" s="13">
        <v>7290013269003</v>
      </c>
      <c r="C853" t="s">
        <v>22</v>
      </c>
      <c r="D853">
        <v>2</v>
      </c>
    </row>
    <row r="854" spans="1:4" x14ac:dyDescent="0.45">
      <c r="A854" s="29">
        <v>45826</v>
      </c>
      <c r="B854" s="13">
        <v>7290014397453</v>
      </c>
      <c r="C854" t="s">
        <v>22</v>
      </c>
      <c r="D854">
        <v>3</v>
      </c>
    </row>
    <row r="855" spans="1:4" x14ac:dyDescent="0.45">
      <c r="A855" s="29">
        <v>45826</v>
      </c>
      <c r="B855" s="13">
        <v>7290019274483</v>
      </c>
      <c r="C855" t="s">
        <v>22</v>
      </c>
      <c r="D855">
        <v>3</v>
      </c>
    </row>
    <row r="856" spans="1:4" x14ac:dyDescent="0.45">
      <c r="A856" s="29">
        <v>45826</v>
      </c>
      <c r="B856" s="13">
        <v>7290019274490</v>
      </c>
      <c r="C856" t="s">
        <v>22</v>
      </c>
      <c r="D856">
        <v>2</v>
      </c>
    </row>
    <row r="857" spans="1:4" x14ac:dyDescent="0.45">
      <c r="A857" s="29">
        <v>45826</v>
      </c>
      <c r="B857" s="13">
        <v>7290019611325</v>
      </c>
      <c r="C857" t="s">
        <v>22</v>
      </c>
      <c r="D857">
        <v>2</v>
      </c>
    </row>
    <row r="858" spans="1:4" x14ac:dyDescent="0.45">
      <c r="A858" s="29">
        <v>45826</v>
      </c>
      <c r="B858" s="13">
        <v>7290103702489</v>
      </c>
      <c r="C858" t="s">
        <v>22</v>
      </c>
      <c r="D858">
        <v>4</v>
      </c>
    </row>
    <row r="859" spans="1:4" x14ac:dyDescent="0.45">
      <c r="A859" s="29">
        <v>45826</v>
      </c>
      <c r="B859" s="13">
        <v>7290103703370</v>
      </c>
      <c r="C859" t="s">
        <v>22</v>
      </c>
      <c r="D859">
        <v>5</v>
      </c>
    </row>
    <row r="860" spans="1:4" x14ac:dyDescent="0.45">
      <c r="A860" s="29">
        <v>45826</v>
      </c>
      <c r="B860" s="13">
        <v>7290103704155</v>
      </c>
      <c r="C860" t="s">
        <v>22</v>
      </c>
      <c r="D860">
        <v>5</v>
      </c>
    </row>
    <row r="861" spans="1:4" x14ac:dyDescent="0.45">
      <c r="A861" s="29">
        <v>45826</v>
      </c>
      <c r="B861" s="13">
        <v>7290103704179</v>
      </c>
      <c r="C861" t="s">
        <v>22</v>
      </c>
      <c r="D861">
        <v>5</v>
      </c>
    </row>
    <row r="862" spans="1:4" x14ac:dyDescent="0.45">
      <c r="A862" s="29">
        <v>45826</v>
      </c>
      <c r="B862" s="13">
        <v>7290103704919</v>
      </c>
      <c r="C862" t="s">
        <v>22</v>
      </c>
      <c r="D862">
        <v>4</v>
      </c>
    </row>
    <row r="863" spans="1:4" x14ac:dyDescent="0.45">
      <c r="A863" s="29">
        <v>45826</v>
      </c>
      <c r="B863" s="13">
        <v>7290107280099</v>
      </c>
      <c r="C863" t="s">
        <v>22</v>
      </c>
      <c r="D863">
        <v>1</v>
      </c>
    </row>
    <row r="864" spans="1:4" x14ac:dyDescent="0.45">
      <c r="A864" s="29">
        <v>45826</v>
      </c>
      <c r="B864" s="13">
        <v>7290108351699</v>
      </c>
      <c r="C864" t="s">
        <v>22</v>
      </c>
      <c r="D864">
        <v>2</v>
      </c>
    </row>
    <row r="865" spans="1:4" x14ac:dyDescent="0.45">
      <c r="A865" s="29">
        <v>45826</v>
      </c>
      <c r="B865" s="13">
        <v>7290108352702</v>
      </c>
      <c r="C865" t="s">
        <v>22</v>
      </c>
      <c r="D865">
        <v>1</v>
      </c>
    </row>
    <row r="866" spans="1:4" x14ac:dyDescent="0.45">
      <c r="A866" s="29">
        <v>45826</v>
      </c>
      <c r="B866" s="13">
        <v>7290108356298</v>
      </c>
      <c r="C866" t="s">
        <v>22</v>
      </c>
      <c r="D866">
        <v>2</v>
      </c>
    </row>
    <row r="867" spans="1:4" x14ac:dyDescent="0.45">
      <c r="A867" s="29">
        <v>45826</v>
      </c>
      <c r="B867" s="13">
        <v>7290108356700</v>
      </c>
      <c r="C867" t="s">
        <v>22</v>
      </c>
      <c r="D867">
        <v>1</v>
      </c>
    </row>
    <row r="868" spans="1:4" x14ac:dyDescent="0.45">
      <c r="A868" s="29">
        <v>45826</v>
      </c>
      <c r="B868" s="13">
        <v>7290108356717</v>
      </c>
      <c r="C868" t="s">
        <v>22</v>
      </c>
      <c r="D868">
        <v>1</v>
      </c>
    </row>
    <row r="869" spans="1:4" x14ac:dyDescent="0.45">
      <c r="A869" s="29">
        <v>45826</v>
      </c>
      <c r="B869" s="13">
        <v>7290108356724</v>
      </c>
      <c r="C869" t="s">
        <v>22</v>
      </c>
      <c r="D869">
        <v>2</v>
      </c>
    </row>
    <row r="870" spans="1:4" x14ac:dyDescent="0.45">
      <c r="A870" s="29">
        <v>45826</v>
      </c>
      <c r="B870" s="13">
        <v>7290108357240</v>
      </c>
      <c r="C870" t="s">
        <v>22</v>
      </c>
      <c r="D870">
        <v>2</v>
      </c>
    </row>
    <row r="871" spans="1:4" x14ac:dyDescent="0.45">
      <c r="A871" s="29">
        <v>45826</v>
      </c>
      <c r="B871" s="13">
        <v>7290108357288</v>
      </c>
      <c r="C871" t="s">
        <v>22</v>
      </c>
      <c r="D871">
        <v>5</v>
      </c>
    </row>
    <row r="872" spans="1:4" x14ac:dyDescent="0.45">
      <c r="A872" s="29">
        <v>45826</v>
      </c>
      <c r="B872" s="13">
        <v>7290108357844</v>
      </c>
      <c r="C872" t="s">
        <v>22</v>
      </c>
      <c r="D872">
        <v>1</v>
      </c>
    </row>
    <row r="873" spans="1:4" x14ac:dyDescent="0.45">
      <c r="A873" s="29">
        <v>45826</v>
      </c>
      <c r="B873" s="13">
        <v>7290108359077</v>
      </c>
      <c r="C873" t="s">
        <v>22</v>
      </c>
      <c r="D873">
        <v>1</v>
      </c>
    </row>
    <row r="874" spans="1:4" x14ac:dyDescent="0.45">
      <c r="A874" s="29">
        <v>45826</v>
      </c>
      <c r="B874" s="13">
        <v>7290108359176</v>
      </c>
      <c r="C874" t="s">
        <v>22</v>
      </c>
      <c r="D874">
        <v>0</v>
      </c>
    </row>
    <row r="875" spans="1:4" x14ac:dyDescent="0.45">
      <c r="A875" s="29">
        <v>45826</v>
      </c>
      <c r="B875" s="13">
        <v>7290108359190</v>
      </c>
      <c r="C875" t="s">
        <v>22</v>
      </c>
      <c r="D875">
        <v>0</v>
      </c>
    </row>
    <row r="876" spans="1:4" x14ac:dyDescent="0.45">
      <c r="A876" s="29">
        <v>45826</v>
      </c>
      <c r="B876" s="13">
        <v>8001090184375</v>
      </c>
      <c r="C876" t="s">
        <v>22</v>
      </c>
      <c r="D876">
        <v>1</v>
      </c>
    </row>
    <row r="877" spans="1:4" x14ac:dyDescent="0.45">
      <c r="A877" s="29">
        <v>45826</v>
      </c>
      <c r="B877" s="13">
        <v>8001090184412</v>
      </c>
      <c r="C877" t="s">
        <v>22</v>
      </c>
      <c r="D877">
        <v>5</v>
      </c>
    </row>
    <row r="878" spans="1:4" x14ac:dyDescent="0.45">
      <c r="A878" s="29">
        <v>45826</v>
      </c>
      <c r="B878" s="13">
        <v>8001841625362</v>
      </c>
      <c r="C878" t="s">
        <v>22</v>
      </c>
      <c r="D878">
        <v>2</v>
      </c>
    </row>
    <row r="879" spans="1:4" x14ac:dyDescent="0.45">
      <c r="A879" s="29">
        <v>45826</v>
      </c>
      <c r="B879" s="13">
        <v>8001841893990</v>
      </c>
      <c r="C879" t="s">
        <v>22</v>
      </c>
      <c r="D879">
        <v>1</v>
      </c>
    </row>
    <row r="880" spans="1:4" x14ac:dyDescent="0.45">
      <c r="A880" s="29">
        <v>45826</v>
      </c>
      <c r="B880" s="13">
        <v>8006540429327</v>
      </c>
      <c r="C880" t="s">
        <v>22</v>
      </c>
      <c r="D880">
        <v>4</v>
      </c>
    </row>
    <row r="881" spans="1:4" x14ac:dyDescent="0.45">
      <c r="A881" s="29">
        <v>45826</v>
      </c>
      <c r="B881" s="13">
        <v>8700216163811</v>
      </c>
      <c r="C881" t="s">
        <v>22</v>
      </c>
      <c r="D881">
        <v>4</v>
      </c>
    </row>
    <row r="882" spans="1:4" x14ac:dyDescent="0.45">
      <c r="A882" s="29">
        <v>45826</v>
      </c>
      <c r="B882" s="13">
        <v>8700216236034</v>
      </c>
      <c r="C882" t="s">
        <v>22</v>
      </c>
      <c r="D882">
        <v>2</v>
      </c>
    </row>
    <row r="883" spans="1:4" x14ac:dyDescent="0.45">
      <c r="A883" s="29">
        <v>45826</v>
      </c>
      <c r="B883" s="13">
        <v>8700216236751</v>
      </c>
      <c r="C883" t="s">
        <v>22</v>
      </c>
      <c r="D883">
        <v>2</v>
      </c>
    </row>
    <row r="884" spans="1:4" x14ac:dyDescent="0.45">
      <c r="A884" s="29">
        <v>45827</v>
      </c>
      <c r="B884" s="13">
        <v>4084500088917</v>
      </c>
      <c r="C884" t="s">
        <v>22</v>
      </c>
      <c r="D884">
        <v>5</v>
      </c>
    </row>
    <row r="885" spans="1:4" x14ac:dyDescent="0.45">
      <c r="A885" s="29">
        <v>45827</v>
      </c>
      <c r="B885" s="13">
        <v>4084500853836</v>
      </c>
      <c r="C885" t="s">
        <v>22</v>
      </c>
      <c r="D885">
        <v>5</v>
      </c>
    </row>
    <row r="886" spans="1:4" x14ac:dyDescent="0.45">
      <c r="A886" s="29">
        <v>45827</v>
      </c>
      <c r="B886" s="13">
        <v>7290000286921</v>
      </c>
      <c r="C886" t="s">
        <v>22</v>
      </c>
      <c r="D886">
        <v>0</v>
      </c>
    </row>
    <row r="887" spans="1:4" x14ac:dyDescent="0.45">
      <c r="A887" s="29">
        <v>45827</v>
      </c>
      <c r="B887" s="13">
        <v>7290000288024</v>
      </c>
      <c r="C887" t="s">
        <v>22</v>
      </c>
      <c r="D887">
        <v>5</v>
      </c>
    </row>
    <row r="888" spans="1:4" x14ac:dyDescent="0.45">
      <c r="A888" s="29">
        <v>45827</v>
      </c>
      <c r="B888" s="13">
        <v>7290000288307</v>
      </c>
      <c r="C888" t="s">
        <v>22</v>
      </c>
      <c r="D888">
        <v>0</v>
      </c>
    </row>
    <row r="889" spans="1:4" x14ac:dyDescent="0.45">
      <c r="A889" s="29">
        <v>45827</v>
      </c>
      <c r="B889" s="13">
        <v>7290000288659</v>
      </c>
      <c r="C889" t="s">
        <v>22</v>
      </c>
      <c r="D889">
        <v>1</v>
      </c>
    </row>
    <row r="890" spans="1:4" x14ac:dyDescent="0.45">
      <c r="A890" s="29">
        <v>45827</v>
      </c>
      <c r="B890" s="13">
        <v>7290000292915</v>
      </c>
      <c r="C890" t="s">
        <v>22</v>
      </c>
      <c r="D890">
        <v>1</v>
      </c>
    </row>
    <row r="891" spans="1:4" x14ac:dyDescent="0.45">
      <c r="A891" s="29">
        <v>45827</v>
      </c>
      <c r="B891" s="13">
        <v>7290000294780</v>
      </c>
      <c r="C891" t="s">
        <v>22</v>
      </c>
      <c r="D891">
        <v>4</v>
      </c>
    </row>
    <row r="892" spans="1:4" x14ac:dyDescent="0.45">
      <c r="A892" s="29">
        <v>45827</v>
      </c>
      <c r="B892" s="13">
        <v>7290000295367</v>
      </c>
      <c r="C892" t="s">
        <v>22</v>
      </c>
      <c r="D892">
        <v>1</v>
      </c>
    </row>
    <row r="893" spans="1:4" x14ac:dyDescent="0.45">
      <c r="A893" s="29">
        <v>45827</v>
      </c>
      <c r="B893" s="13">
        <v>7290000295541</v>
      </c>
      <c r="C893" t="s">
        <v>22</v>
      </c>
      <c r="D893">
        <v>1</v>
      </c>
    </row>
    <row r="894" spans="1:4" x14ac:dyDescent="0.45">
      <c r="A894" s="29">
        <v>45827</v>
      </c>
      <c r="B894" s="13">
        <v>7290001246610</v>
      </c>
      <c r="C894" t="s">
        <v>22</v>
      </c>
      <c r="D894">
        <v>2</v>
      </c>
    </row>
    <row r="895" spans="1:4" x14ac:dyDescent="0.45">
      <c r="A895" s="29">
        <v>45827</v>
      </c>
      <c r="B895" s="13">
        <v>7290005424700</v>
      </c>
      <c r="C895" t="s">
        <v>22</v>
      </c>
      <c r="D895">
        <v>1</v>
      </c>
    </row>
    <row r="896" spans="1:4" x14ac:dyDescent="0.45">
      <c r="A896" s="29">
        <v>45827</v>
      </c>
      <c r="B896" s="13">
        <v>7290005425110</v>
      </c>
      <c r="C896" t="s">
        <v>22</v>
      </c>
      <c r="D896">
        <v>3</v>
      </c>
    </row>
    <row r="897" spans="1:4" x14ac:dyDescent="0.45">
      <c r="A897" s="29">
        <v>45827</v>
      </c>
      <c r="B897" s="13">
        <v>7290005425196</v>
      </c>
      <c r="C897" t="s">
        <v>22</v>
      </c>
      <c r="D897">
        <v>1</v>
      </c>
    </row>
    <row r="898" spans="1:4" x14ac:dyDescent="0.45">
      <c r="A898" s="29">
        <v>45827</v>
      </c>
      <c r="B898" s="13">
        <v>7290012116025</v>
      </c>
      <c r="C898" t="s">
        <v>22</v>
      </c>
      <c r="D898">
        <v>2</v>
      </c>
    </row>
    <row r="899" spans="1:4" x14ac:dyDescent="0.45">
      <c r="A899" s="29">
        <v>45827</v>
      </c>
      <c r="B899" s="13">
        <v>7290012117534</v>
      </c>
      <c r="C899" t="s">
        <v>22</v>
      </c>
      <c r="D899">
        <v>1</v>
      </c>
    </row>
    <row r="900" spans="1:4" x14ac:dyDescent="0.45">
      <c r="A900" s="29">
        <v>45827</v>
      </c>
      <c r="B900" s="13">
        <v>7290013268204</v>
      </c>
      <c r="C900" t="s">
        <v>22</v>
      </c>
      <c r="D900">
        <v>1</v>
      </c>
    </row>
    <row r="901" spans="1:4" x14ac:dyDescent="0.45">
      <c r="A901" s="29">
        <v>45827</v>
      </c>
      <c r="B901" s="13">
        <v>7290013268891</v>
      </c>
      <c r="C901" t="s">
        <v>22</v>
      </c>
      <c r="D901">
        <v>2</v>
      </c>
    </row>
    <row r="902" spans="1:4" x14ac:dyDescent="0.45">
      <c r="A902" s="29">
        <v>45827</v>
      </c>
      <c r="B902" s="13">
        <v>7290013269003</v>
      </c>
      <c r="C902" t="s">
        <v>22</v>
      </c>
      <c r="D902">
        <v>1</v>
      </c>
    </row>
    <row r="903" spans="1:4" x14ac:dyDescent="0.45">
      <c r="A903" s="29">
        <v>45827</v>
      </c>
      <c r="B903" s="13">
        <v>7290014397453</v>
      </c>
      <c r="C903" t="s">
        <v>22</v>
      </c>
      <c r="D903">
        <v>1</v>
      </c>
    </row>
    <row r="904" spans="1:4" x14ac:dyDescent="0.45">
      <c r="A904" s="29">
        <v>45827</v>
      </c>
      <c r="B904" s="13">
        <v>7290019274483</v>
      </c>
      <c r="C904" t="s">
        <v>22</v>
      </c>
      <c r="D904">
        <v>1</v>
      </c>
    </row>
    <row r="905" spans="1:4" x14ac:dyDescent="0.45">
      <c r="A905" s="29">
        <v>45827</v>
      </c>
      <c r="B905" s="13">
        <v>7290019274490</v>
      </c>
      <c r="C905" t="s">
        <v>22</v>
      </c>
      <c r="D905">
        <v>2</v>
      </c>
    </row>
    <row r="906" spans="1:4" x14ac:dyDescent="0.45">
      <c r="A906" s="29">
        <v>45827</v>
      </c>
      <c r="B906" s="13">
        <v>7290019611325</v>
      </c>
      <c r="C906" t="s">
        <v>22</v>
      </c>
      <c r="D906">
        <v>2</v>
      </c>
    </row>
    <row r="907" spans="1:4" x14ac:dyDescent="0.45">
      <c r="A907" s="29">
        <v>45827</v>
      </c>
      <c r="B907" s="13">
        <v>7290103702489</v>
      </c>
      <c r="C907" t="s">
        <v>22</v>
      </c>
      <c r="D907">
        <v>4</v>
      </c>
    </row>
    <row r="908" spans="1:4" x14ac:dyDescent="0.45">
      <c r="A908" s="29">
        <v>45827</v>
      </c>
      <c r="B908" s="13">
        <v>7290103703370</v>
      </c>
      <c r="C908" t="s">
        <v>22</v>
      </c>
      <c r="D908">
        <v>4</v>
      </c>
    </row>
    <row r="909" spans="1:4" x14ac:dyDescent="0.45">
      <c r="A909" s="29">
        <v>45827</v>
      </c>
      <c r="B909" s="13">
        <v>7290103704155</v>
      </c>
      <c r="C909" t="s">
        <v>22</v>
      </c>
      <c r="D909">
        <v>4</v>
      </c>
    </row>
    <row r="910" spans="1:4" x14ac:dyDescent="0.45">
      <c r="A910" s="29">
        <v>45827</v>
      </c>
      <c r="B910" s="13">
        <v>7290103704179</v>
      </c>
      <c r="C910" t="s">
        <v>22</v>
      </c>
      <c r="D910">
        <v>5</v>
      </c>
    </row>
    <row r="911" spans="1:4" x14ac:dyDescent="0.45">
      <c r="A911" s="29">
        <v>45827</v>
      </c>
      <c r="B911" s="13">
        <v>7290103704919</v>
      </c>
      <c r="C911" t="s">
        <v>22</v>
      </c>
      <c r="D911">
        <v>4</v>
      </c>
    </row>
    <row r="912" spans="1:4" x14ac:dyDescent="0.45">
      <c r="A912" s="29">
        <v>45827</v>
      </c>
      <c r="B912" s="13">
        <v>7290107280099</v>
      </c>
      <c r="C912" t="s">
        <v>22</v>
      </c>
      <c r="D912">
        <v>0</v>
      </c>
    </row>
    <row r="913" spans="1:4" x14ac:dyDescent="0.45">
      <c r="A913" s="29">
        <v>45827</v>
      </c>
      <c r="B913" s="13">
        <v>7290108351699</v>
      </c>
      <c r="C913" t="s">
        <v>22</v>
      </c>
      <c r="D913">
        <v>3</v>
      </c>
    </row>
    <row r="914" spans="1:4" x14ac:dyDescent="0.45">
      <c r="A914" s="29">
        <v>45827</v>
      </c>
      <c r="B914" s="13">
        <v>7290108352702</v>
      </c>
      <c r="C914" t="s">
        <v>22</v>
      </c>
      <c r="D914">
        <v>0</v>
      </c>
    </row>
    <row r="915" spans="1:4" x14ac:dyDescent="0.45">
      <c r="A915" s="29">
        <v>45827</v>
      </c>
      <c r="B915" s="13">
        <v>7290108356298</v>
      </c>
      <c r="C915" t="s">
        <v>22</v>
      </c>
      <c r="D915">
        <v>2</v>
      </c>
    </row>
    <row r="916" spans="1:4" x14ac:dyDescent="0.45">
      <c r="A916" s="29">
        <v>45827</v>
      </c>
      <c r="B916" s="13">
        <v>7290108356700</v>
      </c>
      <c r="C916" t="s">
        <v>22</v>
      </c>
      <c r="D916">
        <v>1</v>
      </c>
    </row>
    <row r="917" spans="1:4" x14ac:dyDescent="0.45">
      <c r="A917" s="29">
        <v>45827</v>
      </c>
      <c r="B917" s="13">
        <v>7290108356717</v>
      </c>
      <c r="C917" t="s">
        <v>22</v>
      </c>
      <c r="D917">
        <v>3</v>
      </c>
    </row>
    <row r="918" spans="1:4" x14ac:dyDescent="0.45">
      <c r="A918" s="29">
        <v>45827</v>
      </c>
      <c r="B918" s="13">
        <v>7290108356724</v>
      </c>
      <c r="C918" t="s">
        <v>22</v>
      </c>
      <c r="D918">
        <v>2</v>
      </c>
    </row>
    <row r="919" spans="1:4" x14ac:dyDescent="0.45">
      <c r="A919" s="29">
        <v>45827</v>
      </c>
      <c r="B919" s="13">
        <v>7290108357240</v>
      </c>
      <c r="C919" t="s">
        <v>22</v>
      </c>
      <c r="D919">
        <v>2</v>
      </c>
    </row>
    <row r="920" spans="1:4" x14ac:dyDescent="0.45">
      <c r="A920" s="29">
        <v>45827</v>
      </c>
      <c r="B920" s="13">
        <v>7290108357288</v>
      </c>
      <c r="C920" t="s">
        <v>22</v>
      </c>
      <c r="D920">
        <v>5</v>
      </c>
    </row>
    <row r="921" spans="1:4" x14ac:dyDescent="0.45">
      <c r="A921" s="29">
        <v>45827</v>
      </c>
      <c r="B921" s="13">
        <v>7290108357844</v>
      </c>
      <c r="C921" t="s">
        <v>22</v>
      </c>
      <c r="D921">
        <v>1</v>
      </c>
    </row>
    <row r="922" spans="1:4" x14ac:dyDescent="0.45">
      <c r="A922" s="29">
        <v>45827</v>
      </c>
      <c r="B922" s="13">
        <v>7290108359077</v>
      </c>
      <c r="C922" t="s">
        <v>22</v>
      </c>
      <c r="D922">
        <v>1</v>
      </c>
    </row>
    <row r="923" spans="1:4" x14ac:dyDescent="0.45">
      <c r="A923" s="29">
        <v>45827</v>
      </c>
      <c r="B923" s="13">
        <v>7290108359176</v>
      </c>
      <c r="C923" t="s">
        <v>22</v>
      </c>
      <c r="D923">
        <v>0</v>
      </c>
    </row>
    <row r="924" spans="1:4" x14ac:dyDescent="0.45">
      <c r="A924" s="29">
        <v>45827</v>
      </c>
      <c r="B924" s="13">
        <v>7290108359190</v>
      </c>
      <c r="C924" t="s">
        <v>22</v>
      </c>
      <c r="D924">
        <v>0</v>
      </c>
    </row>
    <row r="925" spans="1:4" x14ac:dyDescent="0.45">
      <c r="A925" s="29">
        <v>45827</v>
      </c>
      <c r="B925" s="13">
        <v>8001090184375</v>
      </c>
      <c r="C925" t="s">
        <v>22</v>
      </c>
      <c r="D925">
        <v>2</v>
      </c>
    </row>
    <row r="926" spans="1:4" x14ac:dyDescent="0.45">
      <c r="A926" s="29">
        <v>45827</v>
      </c>
      <c r="B926" s="13">
        <v>8001090184412</v>
      </c>
      <c r="C926" t="s">
        <v>22</v>
      </c>
      <c r="D926">
        <v>5</v>
      </c>
    </row>
    <row r="927" spans="1:4" x14ac:dyDescent="0.45">
      <c r="A927" s="29">
        <v>45827</v>
      </c>
      <c r="B927" s="13">
        <v>8001841625362</v>
      </c>
      <c r="C927" t="s">
        <v>22</v>
      </c>
      <c r="D927">
        <v>1</v>
      </c>
    </row>
    <row r="928" spans="1:4" x14ac:dyDescent="0.45">
      <c r="A928" s="29">
        <v>45827</v>
      </c>
      <c r="B928" s="13">
        <v>8001841893990</v>
      </c>
      <c r="C928" t="s">
        <v>22</v>
      </c>
      <c r="D928">
        <v>1</v>
      </c>
    </row>
    <row r="929" spans="1:4" x14ac:dyDescent="0.45">
      <c r="A929" s="29">
        <v>45827</v>
      </c>
      <c r="B929" s="13">
        <v>8006540429327</v>
      </c>
      <c r="C929" t="s">
        <v>22</v>
      </c>
      <c r="D929">
        <v>4</v>
      </c>
    </row>
    <row r="930" spans="1:4" x14ac:dyDescent="0.45">
      <c r="A930" s="29">
        <v>45827</v>
      </c>
      <c r="B930" s="13">
        <v>8700216163811</v>
      </c>
      <c r="C930" t="s">
        <v>22</v>
      </c>
      <c r="D930">
        <v>4</v>
      </c>
    </row>
    <row r="931" spans="1:4" x14ac:dyDescent="0.45">
      <c r="A931" s="29">
        <v>45827</v>
      </c>
      <c r="B931" s="13">
        <v>8700216236034</v>
      </c>
      <c r="C931" t="s">
        <v>22</v>
      </c>
      <c r="D931">
        <v>1</v>
      </c>
    </row>
    <row r="932" spans="1:4" x14ac:dyDescent="0.45">
      <c r="A932" s="29">
        <v>45827</v>
      </c>
      <c r="B932" s="13">
        <v>8700216236751</v>
      </c>
      <c r="C932" t="s">
        <v>22</v>
      </c>
      <c r="D932">
        <v>2</v>
      </c>
    </row>
    <row r="933" spans="1:4" x14ac:dyDescent="0.45">
      <c r="A933" s="29">
        <v>45828</v>
      </c>
      <c r="B933" s="13">
        <v>4084500088917</v>
      </c>
      <c r="C933" t="s">
        <v>22</v>
      </c>
      <c r="D933">
        <v>10</v>
      </c>
    </row>
    <row r="934" spans="1:4" x14ac:dyDescent="0.45">
      <c r="A934" s="29">
        <v>45828</v>
      </c>
      <c r="B934" s="13">
        <v>4084500853836</v>
      </c>
      <c r="C934" t="s">
        <v>22</v>
      </c>
      <c r="D934">
        <v>8</v>
      </c>
    </row>
    <row r="935" spans="1:4" x14ac:dyDescent="0.45">
      <c r="A935" s="29">
        <v>45828</v>
      </c>
      <c r="B935" s="13">
        <v>7290000286921</v>
      </c>
      <c r="C935" t="s">
        <v>22</v>
      </c>
      <c r="D935">
        <v>3</v>
      </c>
    </row>
    <row r="936" spans="1:4" x14ac:dyDescent="0.45">
      <c r="A936" s="29">
        <v>45828</v>
      </c>
      <c r="B936" s="13">
        <v>7290000288024</v>
      </c>
      <c r="C936" t="s">
        <v>22</v>
      </c>
      <c r="D936">
        <v>8</v>
      </c>
    </row>
    <row r="937" spans="1:4" x14ac:dyDescent="0.45">
      <c r="A937" s="29">
        <v>45828</v>
      </c>
      <c r="B937" s="13">
        <v>7290000288307</v>
      </c>
      <c r="C937" t="s">
        <v>22</v>
      </c>
      <c r="D937">
        <v>2</v>
      </c>
    </row>
    <row r="938" spans="1:4" x14ac:dyDescent="0.45">
      <c r="A938" s="29">
        <v>45828</v>
      </c>
      <c r="B938" s="13">
        <v>7290000288659</v>
      </c>
      <c r="C938" t="s">
        <v>22</v>
      </c>
      <c r="D938">
        <v>3</v>
      </c>
    </row>
    <row r="939" spans="1:4" x14ac:dyDescent="0.45">
      <c r="A939" s="29">
        <v>45828</v>
      </c>
      <c r="B939" s="13">
        <v>7290000292915</v>
      </c>
      <c r="C939" t="s">
        <v>22</v>
      </c>
      <c r="D939">
        <v>4</v>
      </c>
    </row>
    <row r="940" spans="1:4" x14ac:dyDescent="0.45">
      <c r="A940" s="29">
        <v>45828</v>
      </c>
      <c r="B940" s="13">
        <v>7290000294780</v>
      </c>
      <c r="C940" t="s">
        <v>22</v>
      </c>
      <c r="D940">
        <v>8</v>
      </c>
    </row>
    <row r="941" spans="1:4" x14ac:dyDescent="0.45">
      <c r="A941" s="29">
        <v>45828</v>
      </c>
      <c r="B941" s="13">
        <v>7290000295367</v>
      </c>
      <c r="C941" t="s">
        <v>22</v>
      </c>
      <c r="D941">
        <v>2</v>
      </c>
    </row>
    <row r="942" spans="1:4" x14ac:dyDescent="0.45">
      <c r="A942" s="29">
        <v>45828</v>
      </c>
      <c r="B942" s="13">
        <v>7290000295541</v>
      </c>
      <c r="C942" t="s">
        <v>22</v>
      </c>
      <c r="D942">
        <v>2</v>
      </c>
    </row>
    <row r="943" spans="1:4" x14ac:dyDescent="0.45">
      <c r="A943" s="29">
        <v>45828</v>
      </c>
      <c r="B943" s="13">
        <v>7290001246610</v>
      </c>
      <c r="C943" t="s">
        <v>22</v>
      </c>
      <c r="D943">
        <v>4</v>
      </c>
    </row>
    <row r="944" spans="1:4" x14ac:dyDescent="0.45">
      <c r="A944" s="29">
        <v>45828</v>
      </c>
      <c r="B944" s="13">
        <v>7290005424700</v>
      </c>
      <c r="C944" t="s">
        <v>22</v>
      </c>
      <c r="D944">
        <v>6</v>
      </c>
    </row>
    <row r="945" spans="1:4" x14ac:dyDescent="0.45">
      <c r="A945" s="29">
        <v>45828</v>
      </c>
      <c r="B945" s="13">
        <v>7290005425110</v>
      </c>
      <c r="C945" t="s">
        <v>22</v>
      </c>
      <c r="D945">
        <v>6</v>
      </c>
    </row>
    <row r="946" spans="1:4" x14ac:dyDescent="0.45">
      <c r="A946" s="29">
        <v>45828</v>
      </c>
      <c r="B946" s="13">
        <v>7290005425196</v>
      </c>
      <c r="C946" t="s">
        <v>22</v>
      </c>
      <c r="D946">
        <v>2</v>
      </c>
    </row>
    <row r="947" spans="1:4" x14ac:dyDescent="0.45">
      <c r="A947" s="29">
        <v>45828</v>
      </c>
      <c r="B947" s="13">
        <v>7290012116025</v>
      </c>
      <c r="C947" t="s">
        <v>22</v>
      </c>
      <c r="D947">
        <v>6</v>
      </c>
    </row>
    <row r="948" spans="1:4" x14ac:dyDescent="0.45">
      <c r="A948" s="29">
        <v>45828</v>
      </c>
      <c r="B948" s="13">
        <v>7290012117534</v>
      </c>
      <c r="C948" t="s">
        <v>22</v>
      </c>
      <c r="D948">
        <v>2</v>
      </c>
    </row>
    <row r="949" spans="1:4" x14ac:dyDescent="0.45">
      <c r="A949" s="29">
        <v>45828</v>
      </c>
      <c r="B949" s="13">
        <v>7290013268204</v>
      </c>
      <c r="C949" t="s">
        <v>22</v>
      </c>
      <c r="D949">
        <v>2</v>
      </c>
    </row>
    <row r="950" spans="1:4" x14ac:dyDescent="0.45">
      <c r="A950" s="29">
        <v>45828</v>
      </c>
      <c r="B950" s="13">
        <v>7290013268891</v>
      </c>
      <c r="C950" t="s">
        <v>22</v>
      </c>
      <c r="D950">
        <v>2</v>
      </c>
    </row>
    <row r="951" spans="1:4" x14ac:dyDescent="0.45">
      <c r="A951" s="29">
        <v>45828</v>
      </c>
      <c r="B951" s="13">
        <v>7290013269003</v>
      </c>
      <c r="C951" t="s">
        <v>22</v>
      </c>
      <c r="D951">
        <v>4</v>
      </c>
    </row>
    <row r="952" spans="1:4" x14ac:dyDescent="0.45">
      <c r="A952" s="29">
        <v>45828</v>
      </c>
      <c r="B952" s="13">
        <v>7290014397453</v>
      </c>
      <c r="C952" t="s">
        <v>22</v>
      </c>
      <c r="D952">
        <v>4</v>
      </c>
    </row>
    <row r="953" spans="1:4" x14ac:dyDescent="0.45">
      <c r="A953" s="29">
        <v>45828</v>
      </c>
      <c r="B953" s="13">
        <v>7290019274483</v>
      </c>
      <c r="C953" t="s">
        <v>22</v>
      </c>
      <c r="D953">
        <v>2</v>
      </c>
    </row>
    <row r="954" spans="1:4" x14ac:dyDescent="0.45">
      <c r="A954" s="29">
        <v>45828</v>
      </c>
      <c r="B954" s="13">
        <v>7290019274490</v>
      </c>
      <c r="C954" t="s">
        <v>22</v>
      </c>
      <c r="D954">
        <v>4</v>
      </c>
    </row>
    <row r="955" spans="1:4" x14ac:dyDescent="0.45">
      <c r="A955" s="29">
        <v>45828</v>
      </c>
      <c r="B955" s="13">
        <v>7290019611325</v>
      </c>
      <c r="C955" t="s">
        <v>22</v>
      </c>
      <c r="D955">
        <v>2</v>
      </c>
    </row>
    <row r="956" spans="1:4" x14ac:dyDescent="0.45">
      <c r="A956" s="29">
        <v>45828</v>
      </c>
      <c r="B956" s="13">
        <v>7290103702489</v>
      </c>
      <c r="C956" t="s">
        <v>22</v>
      </c>
      <c r="D956">
        <v>8</v>
      </c>
    </row>
    <row r="957" spans="1:4" x14ac:dyDescent="0.45">
      <c r="A957" s="29">
        <v>45828</v>
      </c>
      <c r="B957" s="13">
        <v>7290103703370</v>
      </c>
      <c r="C957" t="s">
        <v>22</v>
      </c>
      <c r="D957">
        <v>8</v>
      </c>
    </row>
    <row r="958" spans="1:4" x14ac:dyDescent="0.45">
      <c r="A958" s="29">
        <v>45828</v>
      </c>
      <c r="B958" s="13">
        <v>7290103704155</v>
      </c>
      <c r="C958" t="s">
        <v>22</v>
      </c>
      <c r="D958">
        <v>10</v>
      </c>
    </row>
    <row r="959" spans="1:4" x14ac:dyDescent="0.45">
      <c r="A959" s="29">
        <v>45828</v>
      </c>
      <c r="B959" s="13">
        <v>7290103704179</v>
      </c>
      <c r="C959" t="s">
        <v>22</v>
      </c>
      <c r="D959">
        <v>10</v>
      </c>
    </row>
    <row r="960" spans="1:4" x14ac:dyDescent="0.45">
      <c r="A960" s="29">
        <v>45828</v>
      </c>
      <c r="B960" s="13">
        <v>7290103704919</v>
      </c>
      <c r="C960" t="s">
        <v>22</v>
      </c>
      <c r="D960">
        <v>8</v>
      </c>
    </row>
    <row r="961" spans="1:4" x14ac:dyDescent="0.45">
      <c r="A961" s="29">
        <v>45828</v>
      </c>
      <c r="B961" s="13">
        <v>7290107280099</v>
      </c>
      <c r="C961" t="s">
        <v>22</v>
      </c>
      <c r="D961">
        <v>2</v>
      </c>
    </row>
    <row r="962" spans="1:4" x14ac:dyDescent="0.45">
      <c r="A962" s="29">
        <v>45828</v>
      </c>
      <c r="B962" s="13">
        <v>7290108351699</v>
      </c>
      <c r="C962" t="s">
        <v>22</v>
      </c>
      <c r="D962">
        <v>2</v>
      </c>
    </row>
    <row r="963" spans="1:4" x14ac:dyDescent="0.45">
      <c r="A963" s="29">
        <v>45828</v>
      </c>
      <c r="B963" s="13">
        <v>7290108352702</v>
      </c>
      <c r="C963" t="s">
        <v>22</v>
      </c>
      <c r="D963">
        <v>3</v>
      </c>
    </row>
    <row r="964" spans="1:4" x14ac:dyDescent="0.45">
      <c r="A964" s="29">
        <v>45828</v>
      </c>
      <c r="B964" s="13">
        <v>7290108356298</v>
      </c>
      <c r="C964" t="s">
        <v>22</v>
      </c>
      <c r="D964">
        <v>6</v>
      </c>
    </row>
    <row r="965" spans="1:4" x14ac:dyDescent="0.45">
      <c r="A965" s="29">
        <v>45828</v>
      </c>
      <c r="B965" s="13">
        <v>7290108356700</v>
      </c>
      <c r="C965" t="s">
        <v>22</v>
      </c>
      <c r="D965">
        <v>3</v>
      </c>
    </row>
    <row r="966" spans="1:4" x14ac:dyDescent="0.45">
      <c r="A966" s="29">
        <v>45828</v>
      </c>
      <c r="B966" s="13">
        <v>7290108356717</v>
      </c>
      <c r="C966" t="s">
        <v>22</v>
      </c>
      <c r="D966">
        <v>2</v>
      </c>
    </row>
    <row r="967" spans="1:4" x14ac:dyDescent="0.45">
      <c r="A967" s="29">
        <v>45828</v>
      </c>
      <c r="B967" s="13">
        <v>7290108356724</v>
      </c>
      <c r="C967" t="s">
        <v>22</v>
      </c>
      <c r="D967">
        <v>2</v>
      </c>
    </row>
    <row r="968" spans="1:4" x14ac:dyDescent="0.45">
      <c r="A968" s="29">
        <v>45828</v>
      </c>
      <c r="B968" s="13">
        <v>7290108357240</v>
      </c>
      <c r="C968" t="s">
        <v>22</v>
      </c>
      <c r="D968">
        <v>2</v>
      </c>
    </row>
    <row r="969" spans="1:4" x14ac:dyDescent="0.45">
      <c r="A969" s="29">
        <v>45828</v>
      </c>
      <c r="B969" s="13">
        <v>7290108357288</v>
      </c>
      <c r="C969" t="s">
        <v>22</v>
      </c>
      <c r="D969">
        <v>10</v>
      </c>
    </row>
    <row r="970" spans="1:4" x14ac:dyDescent="0.45">
      <c r="A970" s="29">
        <v>45828</v>
      </c>
      <c r="B970" s="13">
        <v>7290108357844</v>
      </c>
      <c r="C970" t="s">
        <v>22</v>
      </c>
      <c r="D970">
        <v>4</v>
      </c>
    </row>
    <row r="971" spans="1:4" x14ac:dyDescent="0.45">
      <c r="A971" s="29">
        <v>45828</v>
      </c>
      <c r="B971" s="13">
        <v>7290108359077</v>
      </c>
      <c r="C971" t="s">
        <v>22</v>
      </c>
      <c r="D971">
        <v>3</v>
      </c>
    </row>
    <row r="972" spans="1:4" x14ac:dyDescent="0.45">
      <c r="A972" s="29">
        <v>45828</v>
      </c>
      <c r="B972" s="13">
        <v>7290108359176</v>
      </c>
      <c r="C972" t="s">
        <v>22</v>
      </c>
      <c r="D972">
        <v>2</v>
      </c>
    </row>
    <row r="973" spans="1:4" x14ac:dyDescent="0.45">
      <c r="A973" s="29">
        <v>45828</v>
      </c>
      <c r="B973" s="13">
        <v>7290108359190</v>
      </c>
      <c r="C973" t="s">
        <v>22</v>
      </c>
      <c r="D973">
        <v>2</v>
      </c>
    </row>
    <row r="974" spans="1:4" x14ac:dyDescent="0.45">
      <c r="A974" s="29">
        <v>45828</v>
      </c>
      <c r="B974" s="13">
        <v>8001090184375</v>
      </c>
      <c r="C974" t="s">
        <v>22</v>
      </c>
      <c r="D974">
        <v>2</v>
      </c>
    </row>
    <row r="975" spans="1:4" x14ac:dyDescent="0.45">
      <c r="A975" s="29">
        <v>45828</v>
      </c>
      <c r="B975" s="13">
        <v>8001090184412</v>
      </c>
      <c r="C975" t="s">
        <v>22</v>
      </c>
      <c r="D975">
        <v>10</v>
      </c>
    </row>
    <row r="976" spans="1:4" x14ac:dyDescent="0.45">
      <c r="A976" s="29">
        <v>45828</v>
      </c>
      <c r="B976" s="13">
        <v>8001841625362</v>
      </c>
      <c r="C976" t="s">
        <v>22</v>
      </c>
      <c r="D976">
        <v>4</v>
      </c>
    </row>
    <row r="977" spans="1:4" x14ac:dyDescent="0.45">
      <c r="A977" s="29">
        <v>45828</v>
      </c>
      <c r="B977" s="13">
        <v>8001841893990</v>
      </c>
      <c r="C977" t="s">
        <v>22</v>
      </c>
      <c r="D977">
        <v>2</v>
      </c>
    </row>
    <row r="978" spans="1:4" x14ac:dyDescent="0.45">
      <c r="A978" s="29">
        <v>45828</v>
      </c>
      <c r="B978" s="13">
        <v>8006540429327</v>
      </c>
      <c r="C978" t="s">
        <v>22</v>
      </c>
      <c r="D978">
        <v>8</v>
      </c>
    </row>
    <row r="979" spans="1:4" x14ac:dyDescent="0.45">
      <c r="A979" s="29">
        <v>45828</v>
      </c>
      <c r="B979" s="13">
        <v>8700216163811</v>
      </c>
      <c r="C979" t="s">
        <v>22</v>
      </c>
      <c r="D979">
        <v>8</v>
      </c>
    </row>
    <row r="980" spans="1:4" x14ac:dyDescent="0.45">
      <c r="A980" s="29">
        <v>45828</v>
      </c>
      <c r="B980" s="13">
        <v>8700216236034</v>
      </c>
      <c r="C980" t="s">
        <v>22</v>
      </c>
      <c r="D980">
        <v>3</v>
      </c>
    </row>
    <row r="981" spans="1:4" x14ac:dyDescent="0.45">
      <c r="A981" s="29">
        <v>45828</v>
      </c>
      <c r="B981" s="13">
        <v>8700216236751</v>
      </c>
      <c r="C981" t="s">
        <v>22</v>
      </c>
      <c r="D981">
        <v>4</v>
      </c>
    </row>
    <row r="982" spans="1:4" x14ac:dyDescent="0.45">
      <c r="A982" s="29">
        <v>45829</v>
      </c>
      <c r="B982" s="13">
        <v>4084500088917</v>
      </c>
      <c r="C982" t="s">
        <v>22</v>
      </c>
      <c r="D982" s="26">
        <v>8</v>
      </c>
    </row>
    <row r="983" spans="1:4" x14ac:dyDescent="0.45">
      <c r="A983" s="29">
        <v>45829</v>
      </c>
      <c r="B983" s="13">
        <v>4084500853836</v>
      </c>
      <c r="C983" t="s">
        <v>22</v>
      </c>
      <c r="D983" s="27">
        <v>8</v>
      </c>
    </row>
    <row r="984" spans="1:4" x14ac:dyDescent="0.45">
      <c r="A984" s="29">
        <v>45829</v>
      </c>
      <c r="B984" s="13">
        <v>7290000286921</v>
      </c>
      <c r="C984" t="s">
        <v>22</v>
      </c>
      <c r="D984" s="26">
        <v>2</v>
      </c>
    </row>
    <row r="985" spans="1:4" x14ac:dyDescent="0.45">
      <c r="A985" s="29">
        <v>45829</v>
      </c>
      <c r="B985" s="13">
        <v>7290000288024</v>
      </c>
      <c r="C985" t="s">
        <v>22</v>
      </c>
      <c r="D985" s="27">
        <v>10</v>
      </c>
    </row>
    <row r="986" spans="1:4" x14ac:dyDescent="0.45">
      <c r="A986" s="29">
        <v>45829</v>
      </c>
      <c r="B986" s="13">
        <v>7290000288307</v>
      </c>
      <c r="C986" t="s">
        <v>22</v>
      </c>
      <c r="D986" s="26">
        <v>3</v>
      </c>
    </row>
    <row r="987" spans="1:4" x14ac:dyDescent="0.45">
      <c r="A987" s="29">
        <v>45829</v>
      </c>
      <c r="B987" s="13">
        <v>7290000288659</v>
      </c>
      <c r="C987" t="s">
        <v>22</v>
      </c>
      <c r="D987" s="27">
        <v>3</v>
      </c>
    </row>
    <row r="988" spans="1:4" x14ac:dyDescent="0.45">
      <c r="A988" s="29">
        <v>45829</v>
      </c>
      <c r="B988" s="13">
        <v>7290000292915</v>
      </c>
      <c r="C988" t="s">
        <v>22</v>
      </c>
      <c r="D988" s="26">
        <v>4</v>
      </c>
    </row>
    <row r="989" spans="1:4" x14ac:dyDescent="0.45">
      <c r="A989" s="29">
        <v>45829</v>
      </c>
      <c r="B989" s="13">
        <v>7290000294780</v>
      </c>
      <c r="C989" t="s">
        <v>22</v>
      </c>
      <c r="D989" s="27">
        <v>10</v>
      </c>
    </row>
    <row r="990" spans="1:4" x14ac:dyDescent="0.45">
      <c r="A990" s="29">
        <v>45829</v>
      </c>
      <c r="B990" s="13">
        <v>7290000295367</v>
      </c>
      <c r="C990" t="s">
        <v>22</v>
      </c>
      <c r="D990" s="26">
        <v>2</v>
      </c>
    </row>
    <row r="991" spans="1:4" x14ac:dyDescent="0.45">
      <c r="A991" s="29">
        <v>45829</v>
      </c>
      <c r="B991" s="13">
        <v>7290000295541</v>
      </c>
      <c r="C991" t="s">
        <v>22</v>
      </c>
      <c r="D991" s="27">
        <v>3</v>
      </c>
    </row>
    <row r="992" spans="1:4" x14ac:dyDescent="0.45">
      <c r="A992" s="29">
        <v>45829</v>
      </c>
      <c r="B992" s="13">
        <v>7290001246610</v>
      </c>
      <c r="C992" t="s">
        <v>22</v>
      </c>
      <c r="D992" s="26">
        <v>4</v>
      </c>
    </row>
    <row r="993" spans="1:4" x14ac:dyDescent="0.45">
      <c r="A993" s="29">
        <v>45829</v>
      </c>
      <c r="B993" s="13">
        <v>7290005424700</v>
      </c>
      <c r="C993" t="s">
        <v>22</v>
      </c>
      <c r="D993" s="27">
        <v>4</v>
      </c>
    </row>
    <row r="994" spans="1:4" x14ac:dyDescent="0.45">
      <c r="A994" s="29">
        <v>45829</v>
      </c>
      <c r="B994" s="13">
        <v>7290005425110</v>
      </c>
      <c r="C994" t="s">
        <v>22</v>
      </c>
      <c r="D994" s="26">
        <v>4</v>
      </c>
    </row>
    <row r="995" spans="1:4" x14ac:dyDescent="0.45">
      <c r="A995" s="29">
        <v>45829</v>
      </c>
      <c r="B995" s="13">
        <v>7290005425196</v>
      </c>
      <c r="C995" t="s">
        <v>22</v>
      </c>
      <c r="D995" s="27">
        <v>4</v>
      </c>
    </row>
    <row r="996" spans="1:4" x14ac:dyDescent="0.45">
      <c r="A996" s="29">
        <v>45829</v>
      </c>
      <c r="B996" s="13">
        <v>7290012116025</v>
      </c>
      <c r="C996" t="s">
        <v>22</v>
      </c>
      <c r="D996" s="26">
        <v>4</v>
      </c>
    </row>
    <row r="997" spans="1:4" x14ac:dyDescent="0.45">
      <c r="A997" s="29">
        <v>45829</v>
      </c>
      <c r="B997" s="13">
        <v>7290012117534</v>
      </c>
      <c r="C997" t="s">
        <v>22</v>
      </c>
      <c r="D997" s="27">
        <v>4</v>
      </c>
    </row>
    <row r="998" spans="1:4" x14ac:dyDescent="0.45">
      <c r="A998" s="29">
        <v>45829</v>
      </c>
      <c r="B998" s="13">
        <v>7290013268204</v>
      </c>
      <c r="C998" t="s">
        <v>22</v>
      </c>
      <c r="D998" s="26">
        <v>2</v>
      </c>
    </row>
    <row r="999" spans="1:4" x14ac:dyDescent="0.45">
      <c r="A999" s="29">
        <v>45829</v>
      </c>
      <c r="B999" s="13">
        <v>7290013268891</v>
      </c>
      <c r="C999" t="s">
        <v>22</v>
      </c>
      <c r="D999" s="27">
        <v>4</v>
      </c>
    </row>
    <row r="1000" spans="1:4" x14ac:dyDescent="0.45">
      <c r="A1000" s="29">
        <v>45829</v>
      </c>
      <c r="B1000" s="13">
        <v>7290013269003</v>
      </c>
      <c r="C1000" t="s">
        <v>22</v>
      </c>
      <c r="D1000" s="26">
        <v>2</v>
      </c>
    </row>
    <row r="1001" spans="1:4" x14ac:dyDescent="0.45">
      <c r="A1001" s="29">
        <v>45829</v>
      </c>
      <c r="B1001" s="13">
        <v>7290014397453</v>
      </c>
      <c r="C1001" t="s">
        <v>22</v>
      </c>
      <c r="D1001" s="27">
        <v>4</v>
      </c>
    </row>
    <row r="1002" spans="1:4" x14ac:dyDescent="0.45">
      <c r="A1002" s="29">
        <v>45829</v>
      </c>
      <c r="B1002" s="13">
        <v>7290019274483</v>
      </c>
      <c r="C1002" t="s">
        <v>22</v>
      </c>
      <c r="D1002" s="26">
        <v>4</v>
      </c>
    </row>
    <row r="1003" spans="1:4" x14ac:dyDescent="0.45">
      <c r="A1003" s="29">
        <v>45829</v>
      </c>
      <c r="B1003" s="13">
        <v>7290019274490</v>
      </c>
      <c r="C1003" t="s">
        <v>22</v>
      </c>
      <c r="D1003" s="27">
        <v>4</v>
      </c>
    </row>
    <row r="1004" spans="1:4" x14ac:dyDescent="0.45">
      <c r="A1004" s="29">
        <v>45829</v>
      </c>
      <c r="B1004" s="13">
        <v>7290019611325</v>
      </c>
      <c r="C1004" t="s">
        <v>22</v>
      </c>
      <c r="D1004" s="26">
        <v>2</v>
      </c>
    </row>
    <row r="1005" spans="1:4" x14ac:dyDescent="0.45">
      <c r="A1005" s="29">
        <v>45829</v>
      </c>
      <c r="B1005" s="13">
        <v>7290103702489</v>
      </c>
      <c r="C1005" t="s">
        <v>22</v>
      </c>
      <c r="D1005" s="27">
        <v>8</v>
      </c>
    </row>
    <row r="1006" spans="1:4" x14ac:dyDescent="0.45">
      <c r="A1006" s="29">
        <v>45829</v>
      </c>
      <c r="B1006" s="13">
        <v>7290103703370</v>
      </c>
      <c r="C1006" t="s">
        <v>22</v>
      </c>
      <c r="D1006" s="26">
        <v>8</v>
      </c>
    </row>
    <row r="1007" spans="1:4" x14ac:dyDescent="0.45">
      <c r="A1007" s="29">
        <v>45829</v>
      </c>
      <c r="B1007" s="13">
        <v>7290103704155</v>
      </c>
      <c r="C1007" t="s">
        <v>22</v>
      </c>
      <c r="D1007" s="27">
        <v>8</v>
      </c>
    </row>
    <row r="1008" spans="1:4" x14ac:dyDescent="0.45">
      <c r="A1008" s="29">
        <v>45829</v>
      </c>
      <c r="B1008" s="13">
        <v>7290103704179</v>
      </c>
      <c r="C1008" t="s">
        <v>22</v>
      </c>
      <c r="D1008" s="26">
        <v>10</v>
      </c>
    </row>
    <row r="1009" spans="1:4" x14ac:dyDescent="0.45">
      <c r="A1009" s="29">
        <v>45829</v>
      </c>
      <c r="B1009" s="13">
        <v>7290103704919</v>
      </c>
      <c r="C1009" t="s">
        <v>22</v>
      </c>
      <c r="D1009" s="27">
        <v>8</v>
      </c>
    </row>
    <row r="1010" spans="1:4" x14ac:dyDescent="0.45">
      <c r="A1010" s="29">
        <v>45829</v>
      </c>
      <c r="B1010" s="13">
        <v>7290107280099</v>
      </c>
      <c r="C1010" t="s">
        <v>22</v>
      </c>
      <c r="D1010" s="26">
        <v>3</v>
      </c>
    </row>
    <row r="1011" spans="1:4" x14ac:dyDescent="0.45">
      <c r="A1011" s="29">
        <v>45829</v>
      </c>
      <c r="B1011" s="13">
        <v>7290108351699</v>
      </c>
      <c r="C1011" t="s">
        <v>22</v>
      </c>
      <c r="D1011" s="27">
        <v>6</v>
      </c>
    </row>
    <row r="1012" spans="1:4" x14ac:dyDescent="0.45">
      <c r="A1012" s="29">
        <v>45829</v>
      </c>
      <c r="B1012" s="13">
        <v>7290108352702</v>
      </c>
      <c r="C1012" t="s">
        <v>22</v>
      </c>
      <c r="D1012" s="26">
        <v>2</v>
      </c>
    </row>
    <row r="1013" spans="1:4" x14ac:dyDescent="0.45">
      <c r="A1013" s="29">
        <v>45829</v>
      </c>
      <c r="B1013" s="13">
        <v>7290108356298</v>
      </c>
      <c r="C1013" t="s">
        <v>22</v>
      </c>
      <c r="D1013" s="27">
        <v>2</v>
      </c>
    </row>
    <row r="1014" spans="1:4" x14ac:dyDescent="0.45">
      <c r="A1014" s="29">
        <v>45829</v>
      </c>
      <c r="B1014" s="13">
        <v>7290108356700</v>
      </c>
      <c r="C1014" t="s">
        <v>22</v>
      </c>
      <c r="D1014" s="26">
        <v>3</v>
      </c>
    </row>
    <row r="1015" spans="1:4" x14ac:dyDescent="0.45">
      <c r="A1015" s="29">
        <v>45829</v>
      </c>
      <c r="B1015" s="13">
        <v>7290108356717</v>
      </c>
      <c r="C1015" t="s">
        <v>22</v>
      </c>
      <c r="D1015" s="27">
        <v>6</v>
      </c>
    </row>
    <row r="1016" spans="1:4" x14ac:dyDescent="0.45">
      <c r="A1016" s="29">
        <v>45829</v>
      </c>
      <c r="B1016" s="13">
        <v>7290108356724</v>
      </c>
      <c r="C1016" t="s">
        <v>22</v>
      </c>
      <c r="D1016" s="26">
        <v>4</v>
      </c>
    </row>
    <row r="1017" spans="1:4" x14ac:dyDescent="0.45">
      <c r="A1017" s="29">
        <v>45829</v>
      </c>
      <c r="B1017" s="13">
        <v>7290108357240</v>
      </c>
      <c r="C1017" t="s">
        <v>22</v>
      </c>
      <c r="D1017" s="27">
        <v>4</v>
      </c>
    </row>
    <row r="1018" spans="1:4" x14ac:dyDescent="0.45">
      <c r="A1018" s="29">
        <v>45829</v>
      </c>
      <c r="B1018" s="13">
        <v>7290108357288</v>
      </c>
      <c r="C1018" t="s">
        <v>22</v>
      </c>
      <c r="D1018" s="26">
        <v>8</v>
      </c>
    </row>
    <row r="1019" spans="1:4" x14ac:dyDescent="0.45">
      <c r="A1019" s="29">
        <v>45829</v>
      </c>
      <c r="B1019" s="13">
        <v>7290108357844</v>
      </c>
      <c r="C1019" t="s">
        <v>22</v>
      </c>
      <c r="D1019" s="27">
        <v>4</v>
      </c>
    </row>
    <row r="1020" spans="1:4" x14ac:dyDescent="0.45">
      <c r="A1020" s="29">
        <v>45829</v>
      </c>
      <c r="B1020" s="13">
        <v>7290108359077</v>
      </c>
      <c r="C1020" t="s">
        <v>22</v>
      </c>
      <c r="D1020" s="26">
        <v>3</v>
      </c>
    </row>
    <row r="1021" spans="1:4" x14ac:dyDescent="0.45">
      <c r="A1021" s="29">
        <v>45829</v>
      </c>
      <c r="B1021" s="13">
        <v>7290108359176</v>
      </c>
      <c r="C1021" t="s">
        <v>22</v>
      </c>
      <c r="D1021" s="27">
        <v>2</v>
      </c>
    </row>
    <row r="1022" spans="1:4" x14ac:dyDescent="0.45">
      <c r="A1022" s="29">
        <v>45829</v>
      </c>
      <c r="B1022" s="13">
        <v>7290108359190</v>
      </c>
      <c r="C1022" t="s">
        <v>22</v>
      </c>
      <c r="D1022" s="26">
        <v>3</v>
      </c>
    </row>
    <row r="1023" spans="1:4" x14ac:dyDescent="0.45">
      <c r="A1023" s="29">
        <v>45829</v>
      </c>
      <c r="B1023" s="13">
        <v>8001090184375</v>
      </c>
      <c r="C1023" t="s">
        <v>22</v>
      </c>
      <c r="D1023" s="27">
        <v>2</v>
      </c>
    </row>
    <row r="1024" spans="1:4" x14ac:dyDescent="0.45">
      <c r="A1024" s="29">
        <v>45829</v>
      </c>
      <c r="B1024" s="13">
        <v>8001090184412</v>
      </c>
      <c r="C1024" t="s">
        <v>22</v>
      </c>
      <c r="D1024" s="26">
        <v>10</v>
      </c>
    </row>
    <row r="1025" spans="1:4" x14ac:dyDescent="0.45">
      <c r="A1025" s="29">
        <v>45829</v>
      </c>
      <c r="B1025" s="13">
        <v>8001841625362</v>
      </c>
      <c r="C1025" t="s">
        <v>22</v>
      </c>
      <c r="D1025" s="27">
        <v>2</v>
      </c>
    </row>
    <row r="1026" spans="1:4" x14ac:dyDescent="0.45">
      <c r="A1026" s="29">
        <v>45829</v>
      </c>
      <c r="B1026" s="13">
        <v>8001841893990</v>
      </c>
      <c r="C1026" t="s">
        <v>22</v>
      </c>
      <c r="D1026" s="26">
        <v>2</v>
      </c>
    </row>
    <row r="1027" spans="1:4" x14ac:dyDescent="0.45">
      <c r="A1027" s="29">
        <v>45829</v>
      </c>
      <c r="B1027" s="13">
        <v>8006540429327</v>
      </c>
      <c r="C1027" t="s">
        <v>22</v>
      </c>
      <c r="D1027" s="27">
        <v>8</v>
      </c>
    </row>
    <row r="1028" spans="1:4" x14ac:dyDescent="0.45">
      <c r="A1028" s="29">
        <v>45829</v>
      </c>
      <c r="B1028" s="13">
        <v>8700216163811</v>
      </c>
      <c r="C1028" t="s">
        <v>22</v>
      </c>
      <c r="D1028" s="26">
        <v>10</v>
      </c>
    </row>
    <row r="1029" spans="1:4" x14ac:dyDescent="0.45">
      <c r="A1029" s="29">
        <v>45829</v>
      </c>
      <c r="B1029" s="13">
        <v>8700216236034</v>
      </c>
      <c r="C1029" t="s">
        <v>22</v>
      </c>
      <c r="D1029" s="27">
        <v>2</v>
      </c>
    </row>
    <row r="1030" spans="1:4" x14ac:dyDescent="0.45">
      <c r="A1030" s="29">
        <v>45829</v>
      </c>
      <c r="B1030" s="13">
        <v>8700216236751</v>
      </c>
      <c r="C1030" t="s">
        <v>22</v>
      </c>
      <c r="D1030" s="26">
        <v>4</v>
      </c>
    </row>
    <row r="1031" spans="1:4" x14ac:dyDescent="0.45">
      <c r="A1031" s="29">
        <v>45830</v>
      </c>
      <c r="B1031" s="13">
        <v>4084500088917</v>
      </c>
      <c r="C1031" t="s">
        <v>22</v>
      </c>
      <c r="D1031">
        <v>4</v>
      </c>
    </row>
    <row r="1032" spans="1:4" x14ac:dyDescent="0.45">
      <c r="A1032" s="29">
        <v>45830</v>
      </c>
      <c r="B1032" s="13">
        <v>4084500853836</v>
      </c>
      <c r="C1032" t="s">
        <v>22</v>
      </c>
      <c r="D1032">
        <v>4</v>
      </c>
    </row>
    <row r="1033" spans="1:4" x14ac:dyDescent="0.45">
      <c r="A1033" s="29">
        <v>45830</v>
      </c>
      <c r="B1033" s="13">
        <v>7290000286921</v>
      </c>
      <c r="C1033" t="s">
        <v>22</v>
      </c>
      <c r="D1033">
        <v>2</v>
      </c>
    </row>
    <row r="1034" spans="1:4" x14ac:dyDescent="0.45">
      <c r="A1034" s="29">
        <v>45830</v>
      </c>
      <c r="B1034" s="13">
        <v>7290000288024</v>
      </c>
      <c r="C1034" t="s">
        <v>22</v>
      </c>
      <c r="D1034">
        <v>5</v>
      </c>
    </row>
    <row r="1035" spans="1:4" x14ac:dyDescent="0.45">
      <c r="A1035" s="29">
        <v>45830</v>
      </c>
      <c r="B1035" s="13">
        <v>7290000288307</v>
      </c>
      <c r="C1035" t="s">
        <v>22</v>
      </c>
      <c r="D1035">
        <v>0</v>
      </c>
    </row>
    <row r="1036" spans="1:4" x14ac:dyDescent="0.45">
      <c r="A1036" s="29">
        <v>45830</v>
      </c>
      <c r="B1036" s="13">
        <v>7290000288659</v>
      </c>
      <c r="C1036" t="s">
        <v>22</v>
      </c>
      <c r="D1036">
        <v>1</v>
      </c>
    </row>
    <row r="1037" spans="1:4" x14ac:dyDescent="0.45">
      <c r="A1037" s="29">
        <v>45830</v>
      </c>
      <c r="B1037" s="13">
        <v>7290000292915</v>
      </c>
      <c r="C1037" t="s">
        <v>22</v>
      </c>
      <c r="D1037">
        <v>3</v>
      </c>
    </row>
    <row r="1038" spans="1:4" x14ac:dyDescent="0.45">
      <c r="A1038" s="29">
        <v>45830</v>
      </c>
      <c r="B1038" s="13">
        <v>7290000294780</v>
      </c>
      <c r="C1038" t="s">
        <v>22</v>
      </c>
      <c r="D1038">
        <v>5</v>
      </c>
    </row>
    <row r="1039" spans="1:4" x14ac:dyDescent="0.45">
      <c r="A1039" s="29">
        <v>45830</v>
      </c>
      <c r="B1039" s="13">
        <v>7290000295367</v>
      </c>
      <c r="C1039" t="s">
        <v>22</v>
      </c>
      <c r="D1039">
        <v>1</v>
      </c>
    </row>
    <row r="1040" spans="1:4" x14ac:dyDescent="0.45">
      <c r="A1040" s="29">
        <v>45830</v>
      </c>
      <c r="B1040" s="13">
        <v>7290000295541</v>
      </c>
      <c r="C1040" t="s">
        <v>22</v>
      </c>
      <c r="D1040">
        <v>1</v>
      </c>
    </row>
    <row r="1041" spans="1:4" x14ac:dyDescent="0.45">
      <c r="A1041" s="29">
        <v>45830</v>
      </c>
      <c r="B1041" s="13">
        <v>7290001246610</v>
      </c>
      <c r="C1041" t="s">
        <v>22</v>
      </c>
      <c r="D1041">
        <v>1</v>
      </c>
    </row>
    <row r="1042" spans="1:4" x14ac:dyDescent="0.45">
      <c r="A1042" s="29">
        <v>45830</v>
      </c>
      <c r="B1042" s="13">
        <v>7290005424700</v>
      </c>
      <c r="C1042" t="s">
        <v>22</v>
      </c>
      <c r="D1042">
        <v>3</v>
      </c>
    </row>
    <row r="1043" spans="1:4" x14ac:dyDescent="0.45">
      <c r="A1043" s="29">
        <v>45830</v>
      </c>
      <c r="B1043" s="13">
        <v>7290005425110</v>
      </c>
      <c r="C1043" t="s">
        <v>22</v>
      </c>
      <c r="D1043">
        <v>1</v>
      </c>
    </row>
    <row r="1044" spans="1:4" x14ac:dyDescent="0.45">
      <c r="A1044" s="29">
        <v>45830</v>
      </c>
      <c r="B1044" s="13">
        <v>7290005425196</v>
      </c>
      <c r="C1044" t="s">
        <v>22</v>
      </c>
      <c r="D1044">
        <v>2</v>
      </c>
    </row>
    <row r="1045" spans="1:4" x14ac:dyDescent="0.45">
      <c r="A1045" s="29">
        <v>45830</v>
      </c>
      <c r="B1045" s="13">
        <v>7290012116025</v>
      </c>
      <c r="C1045" t="s">
        <v>22</v>
      </c>
      <c r="D1045">
        <v>1</v>
      </c>
    </row>
    <row r="1046" spans="1:4" x14ac:dyDescent="0.45">
      <c r="A1046" s="29">
        <v>45830</v>
      </c>
      <c r="B1046" s="13">
        <v>7290012117534</v>
      </c>
      <c r="C1046" t="s">
        <v>22</v>
      </c>
      <c r="D1046">
        <v>1</v>
      </c>
    </row>
    <row r="1047" spans="1:4" x14ac:dyDescent="0.45">
      <c r="A1047" s="29">
        <v>45830</v>
      </c>
      <c r="B1047" s="13">
        <v>7290013268204</v>
      </c>
      <c r="C1047" t="s">
        <v>22</v>
      </c>
      <c r="D1047">
        <v>1</v>
      </c>
    </row>
    <row r="1048" spans="1:4" x14ac:dyDescent="0.45">
      <c r="A1048" s="29">
        <v>45830</v>
      </c>
      <c r="B1048" s="13">
        <v>7290013268891</v>
      </c>
      <c r="C1048" t="s">
        <v>22</v>
      </c>
      <c r="D1048">
        <v>1</v>
      </c>
    </row>
    <row r="1049" spans="1:4" x14ac:dyDescent="0.45">
      <c r="A1049" s="29">
        <v>45830</v>
      </c>
      <c r="B1049" s="13">
        <v>7290013269003</v>
      </c>
      <c r="C1049" t="s">
        <v>22</v>
      </c>
      <c r="D1049">
        <v>1</v>
      </c>
    </row>
    <row r="1050" spans="1:4" x14ac:dyDescent="0.45">
      <c r="A1050" s="29">
        <v>45830</v>
      </c>
      <c r="B1050" s="13">
        <v>7290014397453</v>
      </c>
      <c r="C1050" t="s">
        <v>22</v>
      </c>
      <c r="D1050">
        <v>2</v>
      </c>
    </row>
    <row r="1051" spans="1:4" x14ac:dyDescent="0.45">
      <c r="A1051" s="29">
        <v>45830</v>
      </c>
      <c r="B1051" s="13">
        <v>7290019274483</v>
      </c>
      <c r="C1051" t="s">
        <v>22</v>
      </c>
      <c r="D1051">
        <v>2</v>
      </c>
    </row>
    <row r="1052" spans="1:4" x14ac:dyDescent="0.45">
      <c r="A1052" s="29">
        <v>45830</v>
      </c>
      <c r="B1052" s="13">
        <v>7290019274490</v>
      </c>
      <c r="C1052" t="s">
        <v>22</v>
      </c>
      <c r="D1052">
        <v>2</v>
      </c>
    </row>
    <row r="1053" spans="1:4" x14ac:dyDescent="0.45">
      <c r="A1053" s="29">
        <v>45830</v>
      </c>
      <c r="B1053" s="13">
        <v>7290019611325</v>
      </c>
      <c r="C1053" t="s">
        <v>22</v>
      </c>
      <c r="D1053">
        <v>2</v>
      </c>
    </row>
    <row r="1054" spans="1:4" x14ac:dyDescent="0.45">
      <c r="A1054" s="29">
        <v>45830</v>
      </c>
      <c r="B1054" s="13">
        <v>7290103702489</v>
      </c>
      <c r="C1054" t="s">
        <v>22</v>
      </c>
      <c r="D1054">
        <v>4</v>
      </c>
    </row>
    <row r="1055" spans="1:4" x14ac:dyDescent="0.45">
      <c r="A1055" s="29">
        <v>45830</v>
      </c>
      <c r="B1055" s="13">
        <v>7290103703370</v>
      </c>
      <c r="C1055" t="s">
        <v>22</v>
      </c>
      <c r="D1055">
        <v>5</v>
      </c>
    </row>
    <row r="1056" spans="1:4" x14ac:dyDescent="0.45">
      <c r="A1056" s="29">
        <v>45830</v>
      </c>
      <c r="B1056" s="13">
        <v>7290103704155</v>
      </c>
      <c r="C1056" t="s">
        <v>22</v>
      </c>
      <c r="D1056">
        <v>5</v>
      </c>
    </row>
    <row r="1057" spans="1:4" x14ac:dyDescent="0.45">
      <c r="A1057" s="29">
        <v>45830</v>
      </c>
      <c r="B1057" s="13">
        <v>7290103704179</v>
      </c>
      <c r="C1057" t="s">
        <v>22</v>
      </c>
      <c r="D1057">
        <v>4</v>
      </c>
    </row>
    <row r="1058" spans="1:4" x14ac:dyDescent="0.45">
      <c r="A1058" s="29">
        <v>45830</v>
      </c>
      <c r="B1058" s="13">
        <v>7290103704919</v>
      </c>
      <c r="C1058" t="s">
        <v>22</v>
      </c>
      <c r="D1058">
        <v>5</v>
      </c>
    </row>
    <row r="1059" spans="1:4" x14ac:dyDescent="0.45">
      <c r="A1059" s="29">
        <v>45830</v>
      </c>
      <c r="B1059" s="13">
        <v>7290107280099</v>
      </c>
      <c r="C1059" t="s">
        <v>22</v>
      </c>
      <c r="D1059">
        <v>1</v>
      </c>
    </row>
    <row r="1060" spans="1:4" x14ac:dyDescent="0.45">
      <c r="A1060" s="29">
        <v>45830</v>
      </c>
      <c r="B1060" s="13">
        <v>7290108351699</v>
      </c>
      <c r="C1060" t="s">
        <v>22</v>
      </c>
      <c r="D1060">
        <v>3</v>
      </c>
    </row>
    <row r="1061" spans="1:4" x14ac:dyDescent="0.45">
      <c r="A1061" s="29">
        <v>45830</v>
      </c>
      <c r="B1061" s="13">
        <v>7290108352702</v>
      </c>
      <c r="C1061" t="s">
        <v>22</v>
      </c>
      <c r="D1061">
        <v>1</v>
      </c>
    </row>
    <row r="1062" spans="1:4" x14ac:dyDescent="0.45">
      <c r="A1062" s="29">
        <v>45830</v>
      </c>
      <c r="B1062" s="13">
        <v>7290108356298</v>
      </c>
      <c r="C1062" t="s">
        <v>22</v>
      </c>
      <c r="D1062">
        <v>1</v>
      </c>
    </row>
    <row r="1063" spans="1:4" x14ac:dyDescent="0.45">
      <c r="A1063" s="29">
        <v>45830</v>
      </c>
      <c r="B1063" s="13">
        <v>7290108356700</v>
      </c>
      <c r="C1063" t="s">
        <v>22</v>
      </c>
      <c r="D1063">
        <v>1</v>
      </c>
    </row>
    <row r="1064" spans="1:4" x14ac:dyDescent="0.45">
      <c r="A1064" s="29">
        <v>45830</v>
      </c>
      <c r="B1064" s="13">
        <v>7290108356717</v>
      </c>
      <c r="C1064" t="s">
        <v>22</v>
      </c>
      <c r="D1064">
        <v>1</v>
      </c>
    </row>
    <row r="1065" spans="1:4" x14ac:dyDescent="0.45">
      <c r="A1065" s="29">
        <v>45830</v>
      </c>
      <c r="B1065" s="13">
        <v>7290108356724</v>
      </c>
      <c r="C1065" t="s">
        <v>22</v>
      </c>
      <c r="D1065">
        <v>3</v>
      </c>
    </row>
    <row r="1066" spans="1:4" x14ac:dyDescent="0.45">
      <c r="A1066" s="29">
        <v>45830</v>
      </c>
      <c r="B1066" s="13">
        <v>7290108357240</v>
      </c>
      <c r="C1066" t="s">
        <v>22</v>
      </c>
      <c r="D1066">
        <v>1</v>
      </c>
    </row>
    <row r="1067" spans="1:4" x14ac:dyDescent="0.45">
      <c r="A1067" s="29">
        <v>45830</v>
      </c>
      <c r="B1067" s="13">
        <v>7290108357288</v>
      </c>
      <c r="C1067" t="s">
        <v>22</v>
      </c>
      <c r="D1067">
        <v>5</v>
      </c>
    </row>
    <row r="1068" spans="1:4" x14ac:dyDescent="0.45">
      <c r="A1068" s="29">
        <v>45830</v>
      </c>
      <c r="B1068" s="13">
        <v>7290108357844</v>
      </c>
      <c r="C1068" t="s">
        <v>22</v>
      </c>
      <c r="D1068">
        <v>2</v>
      </c>
    </row>
    <row r="1069" spans="1:4" x14ac:dyDescent="0.45">
      <c r="A1069" s="29">
        <v>45830</v>
      </c>
      <c r="B1069" s="13">
        <v>7290108359077</v>
      </c>
      <c r="C1069" t="s">
        <v>22</v>
      </c>
      <c r="D1069">
        <v>0</v>
      </c>
    </row>
    <row r="1070" spans="1:4" x14ac:dyDescent="0.45">
      <c r="A1070" s="29">
        <v>45830</v>
      </c>
      <c r="B1070" s="13">
        <v>7290108359176</v>
      </c>
      <c r="C1070" t="s">
        <v>22</v>
      </c>
      <c r="D1070">
        <v>0</v>
      </c>
    </row>
    <row r="1071" spans="1:4" x14ac:dyDescent="0.45">
      <c r="A1071" s="29">
        <v>45830</v>
      </c>
      <c r="B1071" s="13">
        <v>7290108359190</v>
      </c>
      <c r="C1071" t="s">
        <v>22</v>
      </c>
      <c r="D1071">
        <v>0</v>
      </c>
    </row>
    <row r="1072" spans="1:4" x14ac:dyDescent="0.45">
      <c r="A1072" s="29">
        <v>45830</v>
      </c>
      <c r="B1072" s="13">
        <v>8001090184375</v>
      </c>
      <c r="C1072" t="s">
        <v>22</v>
      </c>
      <c r="D1072">
        <v>0</v>
      </c>
    </row>
    <row r="1073" spans="1:4" x14ac:dyDescent="0.45">
      <c r="A1073" s="29">
        <v>45830</v>
      </c>
      <c r="B1073" s="13">
        <v>8001090184412</v>
      </c>
      <c r="C1073" t="s">
        <v>22</v>
      </c>
      <c r="D1073">
        <v>5</v>
      </c>
    </row>
    <row r="1074" spans="1:4" x14ac:dyDescent="0.45">
      <c r="A1074" s="29">
        <v>45830</v>
      </c>
      <c r="B1074" s="13">
        <v>8001841625362</v>
      </c>
      <c r="C1074" t="s">
        <v>22</v>
      </c>
      <c r="D1074">
        <v>1</v>
      </c>
    </row>
    <row r="1075" spans="1:4" x14ac:dyDescent="0.45">
      <c r="A1075" s="29">
        <v>45830</v>
      </c>
      <c r="B1075" s="13">
        <v>8001841893990</v>
      </c>
      <c r="C1075" t="s">
        <v>22</v>
      </c>
      <c r="D1075">
        <v>1</v>
      </c>
    </row>
    <row r="1076" spans="1:4" x14ac:dyDescent="0.45">
      <c r="A1076" s="29">
        <v>45830</v>
      </c>
      <c r="B1076" s="13">
        <v>8006540429327</v>
      </c>
      <c r="C1076" t="s">
        <v>22</v>
      </c>
      <c r="D1076">
        <v>4</v>
      </c>
    </row>
    <row r="1077" spans="1:4" x14ac:dyDescent="0.45">
      <c r="A1077" s="29">
        <v>45830</v>
      </c>
      <c r="B1077" s="13">
        <v>8700216163811</v>
      </c>
      <c r="C1077" t="s">
        <v>22</v>
      </c>
      <c r="D1077">
        <v>4</v>
      </c>
    </row>
    <row r="1078" spans="1:4" x14ac:dyDescent="0.45">
      <c r="A1078" s="29">
        <v>45830</v>
      </c>
      <c r="B1078" s="13">
        <v>8700216236034</v>
      </c>
      <c r="C1078" t="s">
        <v>22</v>
      </c>
      <c r="D1078">
        <v>2</v>
      </c>
    </row>
    <row r="1079" spans="1:4" x14ac:dyDescent="0.45">
      <c r="A1079" s="29">
        <v>45830</v>
      </c>
      <c r="B1079" s="13">
        <v>8700216236751</v>
      </c>
      <c r="C1079" t="s">
        <v>22</v>
      </c>
      <c r="D1079">
        <v>1</v>
      </c>
    </row>
    <row r="1080" spans="1:4" x14ac:dyDescent="0.45">
      <c r="A1080" s="29">
        <v>45831</v>
      </c>
      <c r="B1080" s="13">
        <v>4084500088917</v>
      </c>
      <c r="C1080" t="s">
        <v>22</v>
      </c>
      <c r="D1080">
        <v>8</v>
      </c>
    </row>
    <row r="1081" spans="1:4" x14ac:dyDescent="0.45">
      <c r="A1081" s="29">
        <v>45831</v>
      </c>
      <c r="B1081" s="13">
        <v>4084500853836</v>
      </c>
      <c r="C1081" t="s">
        <v>22</v>
      </c>
      <c r="D1081">
        <v>6</v>
      </c>
    </row>
    <row r="1082" spans="1:4" x14ac:dyDescent="0.45">
      <c r="A1082" s="29">
        <v>45831</v>
      </c>
      <c r="B1082" s="13">
        <v>7290000286921</v>
      </c>
      <c r="C1082" t="s">
        <v>22</v>
      </c>
      <c r="D1082">
        <v>2</v>
      </c>
    </row>
    <row r="1083" spans="1:4" x14ac:dyDescent="0.45">
      <c r="A1083" s="29">
        <v>45831</v>
      </c>
      <c r="B1083" s="13">
        <v>7290000288024</v>
      </c>
      <c r="C1083" t="s">
        <v>22</v>
      </c>
      <c r="D1083">
        <v>6</v>
      </c>
    </row>
    <row r="1084" spans="1:4" x14ac:dyDescent="0.45">
      <c r="A1084" s="29">
        <v>45831</v>
      </c>
      <c r="B1084" s="13">
        <v>7290000288307</v>
      </c>
      <c r="C1084" t="s">
        <v>22</v>
      </c>
      <c r="D1084">
        <v>0</v>
      </c>
    </row>
    <row r="1085" spans="1:4" x14ac:dyDescent="0.45">
      <c r="A1085" s="29">
        <v>45831</v>
      </c>
      <c r="B1085" s="13">
        <v>7290000288659</v>
      </c>
      <c r="C1085" t="s">
        <v>22</v>
      </c>
      <c r="D1085">
        <v>0</v>
      </c>
    </row>
    <row r="1086" spans="1:4" x14ac:dyDescent="0.45">
      <c r="A1086" s="29">
        <v>45831</v>
      </c>
      <c r="B1086" s="13">
        <v>7290000292915</v>
      </c>
      <c r="C1086" t="s">
        <v>22</v>
      </c>
      <c r="D1086">
        <v>1</v>
      </c>
    </row>
    <row r="1087" spans="1:4" x14ac:dyDescent="0.45">
      <c r="A1087" s="29">
        <v>45831</v>
      </c>
      <c r="B1087" s="13">
        <v>7290000294780</v>
      </c>
      <c r="C1087" t="s">
        <v>22</v>
      </c>
      <c r="D1087">
        <v>6</v>
      </c>
    </row>
    <row r="1088" spans="1:4" x14ac:dyDescent="0.45">
      <c r="A1088" s="29">
        <v>45831</v>
      </c>
      <c r="B1088" s="13">
        <v>7290000295367</v>
      </c>
      <c r="C1088" t="s">
        <v>22</v>
      </c>
      <c r="D1088">
        <v>2</v>
      </c>
    </row>
    <row r="1089" spans="1:4" x14ac:dyDescent="0.45">
      <c r="A1089" s="29">
        <v>45831</v>
      </c>
      <c r="B1089" s="13">
        <v>7290000295541</v>
      </c>
      <c r="C1089" t="s">
        <v>22</v>
      </c>
      <c r="D1089">
        <v>0</v>
      </c>
    </row>
    <row r="1090" spans="1:4" x14ac:dyDescent="0.45">
      <c r="A1090" s="29">
        <v>45831</v>
      </c>
      <c r="B1090" s="13">
        <v>7290001246610</v>
      </c>
      <c r="C1090" t="s">
        <v>22</v>
      </c>
      <c r="D1090">
        <v>2</v>
      </c>
    </row>
    <row r="1091" spans="1:4" x14ac:dyDescent="0.45">
      <c r="A1091" s="29">
        <v>45831</v>
      </c>
      <c r="B1091" s="13">
        <v>7290005424700</v>
      </c>
      <c r="C1091" t="s">
        <v>22</v>
      </c>
      <c r="D1091">
        <v>1</v>
      </c>
    </row>
    <row r="1092" spans="1:4" x14ac:dyDescent="0.45">
      <c r="A1092" s="29">
        <v>45831</v>
      </c>
      <c r="B1092" s="13">
        <v>7290005425110</v>
      </c>
      <c r="C1092" t="s">
        <v>22</v>
      </c>
      <c r="D1092">
        <v>3</v>
      </c>
    </row>
    <row r="1093" spans="1:4" x14ac:dyDescent="0.45">
      <c r="A1093" s="29">
        <v>45831</v>
      </c>
      <c r="B1093" s="13">
        <v>7290005425196</v>
      </c>
      <c r="C1093" t="s">
        <v>22</v>
      </c>
      <c r="D1093">
        <v>1</v>
      </c>
    </row>
    <row r="1094" spans="1:4" x14ac:dyDescent="0.45">
      <c r="A1094" s="29">
        <v>45831</v>
      </c>
      <c r="B1094" s="13">
        <v>7290012116025</v>
      </c>
      <c r="C1094" t="s">
        <v>22</v>
      </c>
      <c r="D1094">
        <v>1</v>
      </c>
    </row>
    <row r="1095" spans="1:4" x14ac:dyDescent="0.45">
      <c r="A1095" s="29">
        <v>45831</v>
      </c>
      <c r="B1095" s="13">
        <v>7290012117534</v>
      </c>
      <c r="C1095" t="s">
        <v>22</v>
      </c>
      <c r="D1095">
        <v>1</v>
      </c>
    </row>
    <row r="1096" spans="1:4" x14ac:dyDescent="0.45">
      <c r="A1096" s="29">
        <v>45831</v>
      </c>
      <c r="B1096" s="13">
        <v>7290013268204</v>
      </c>
      <c r="C1096" t="s">
        <v>22</v>
      </c>
      <c r="D1096">
        <v>1</v>
      </c>
    </row>
    <row r="1097" spans="1:4" x14ac:dyDescent="0.45">
      <c r="A1097" s="29">
        <v>45831</v>
      </c>
      <c r="B1097" s="13">
        <v>7290013268891</v>
      </c>
      <c r="C1097" t="s">
        <v>22</v>
      </c>
      <c r="D1097">
        <v>1</v>
      </c>
    </row>
    <row r="1098" spans="1:4" x14ac:dyDescent="0.45">
      <c r="A1098" s="29">
        <v>45831</v>
      </c>
      <c r="B1098" s="13">
        <v>7290013269003</v>
      </c>
      <c r="C1098" t="s">
        <v>22</v>
      </c>
      <c r="D1098">
        <v>2</v>
      </c>
    </row>
    <row r="1099" spans="1:4" x14ac:dyDescent="0.45">
      <c r="A1099" s="29">
        <v>45831</v>
      </c>
      <c r="B1099" s="13">
        <v>7290014397453</v>
      </c>
      <c r="C1099" t="s">
        <v>22</v>
      </c>
      <c r="D1099">
        <v>2</v>
      </c>
    </row>
    <row r="1100" spans="1:4" x14ac:dyDescent="0.45">
      <c r="A1100" s="29">
        <v>45831</v>
      </c>
      <c r="B1100" s="13">
        <v>7290019274483</v>
      </c>
      <c r="C1100" t="s">
        <v>22</v>
      </c>
      <c r="D1100">
        <v>1</v>
      </c>
    </row>
    <row r="1101" spans="1:4" x14ac:dyDescent="0.45">
      <c r="A1101" s="29">
        <v>45831</v>
      </c>
      <c r="B1101" s="13">
        <v>7290019274490</v>
      </c>
      <c r="C1101" t="s">
        <v>22</v>
      </c>
      <c r="D1101">
        <v>1</v>
      </c>
    </row>
    <row r="1102" spans="1:4" x14ac:dyDescent="0.45">
      <c r="A1102" s="29">
        <v>45831</v>
      </c>
      <c r="B1102" s="13">
        <v>7290019611325</v>
      </c>
      <c r="C1102" t="s">
        <v>22</v>
      </c>
      <c r="D1102">
        <v>2</v>
      </c>
    </row>
    <row r="1103" spans="1:4" x14ac:dyDescent="0.45">
      <c r="A1103" s="29">
        <v>45831</v>
      </c>
      <c r="B1103" s="13">
        <v>7290103702489</v>
      </c>
      <c r="C1103" t="s">
        <v>22</v>
      </c>
      <c r="D1103">
        <v>8</v>
      </c>
    </row>
    <row r="1104" spans="1:4" x14ac:dyDescent="0.45">
      <c r="A1104" s="29">
        <v>45831</v>
      </c>
      <c r="B1104" s="13">
        <v>7290103703370</v>
      </c>
      <c r="C1104" t="s">
        <v>22</v>
      </c>
      <c r="D1104">
        <v>8</v>
      </c>
    </row>
    <row r="1105" spans="1:4" x14ac:dyDescent="0.45">
      <c r="A1105" s="29">
        <v>45831</v>
      </c>
      <c r="B1105" s="13">
        <v>7290103704155</v>
      </c>
      <c r="C1105" t="s">
        <v>22</v>
      </c>
      <c r="D1105">
        <v>8</v>
      </c>
    </row>
    <row r="1106" spans="1:4" x14ac:dyDescent="0.45">
      <c r="A1106" s="29">
        <v>45831</v>
      </c>
      <c r="B1106" s="13">
        <v>7290103704179</v>
      </c>
      <c r="C1106" t="s">
        <v>22</v>
      </c>
      <c r="D1106">
        <v>6</v>
      </c>
    </row>
    <row r="1107" spans="1:4" x14ac:dyDescent="0.45">
      <c r="A1107" s="29">
        <v>45831</v>
      </c>
      <c r="B1107" s="13">
        <v>7290103704919</v>
      </c>
      <c r="C1107" t="s">
        <v>22</v>
      </c>
      <c r="D1107">
        <v>8</v>
      </c>
    </row>
    <row r="1108" spans="1:4" x14ac:dyDescent="0.45">
      <c r="A1108" s="29">
        <v>45831</v>
      </c>
      <c r="B1108" s="13">
        <v>7290107280099</v>
      </c>
      <c r="C1108" t="s">
        <v>22</v>
      </c>
      <c r="D1108">
        <v>1</v>
      </c>
    </row>
    <row r="1109" spans="1:4" x14ac:dyDescent="0.45">
      <c r="A1109" s="29">
        <v>45831</v>
      </c>
      <c r="B1109" s="13">
        <v>7290108351699</v>
      </c>
      <c r="C1109" t="s">
        <v>22</v>
      </c>
      <c r="D1109">
        <v>2</v>
      </c>
    </row>
    <row r="1110" spans="1:4" x14ac:dyDescent="0.45">
      <c r="A1110" s="29">
        <v>45831</v>
      </c>
      <c r="B1110" s="13">
        <v>7290108352702</v>
      </c>
      <c r="C1110" t="s">
        <v>22</v>
      </c>
      <c r="D1110">
        <v>0</v>
      </c>
    </row>
    <row r="1111" spans="1:4" x14ac:dyDescent="0.45">
      <c r="A1111" s="29">
        <v>45831</v>
      </c>
      <c r="B1111" s="13">
        <v>7290108356298</v>
      </c>
      <c r="C1111" t="s">
        <v>22</v>
      </c>
      <c r="D1111">
        <v>3</v>
      </c>
    </row>
    <row r="1112" spans="1:4" x14ac:dyDescent="0.45">
      <c r="A1112" s="29">
        <v>45831</v>
      </c>
      <c r="B1112" s="13">
        <v>7290108356700</v>
      </c>
      <c r="C1112" t="s">
        <v>22</v>
      </c>
      <c r="D1112">
        <v>0</v>
      </c>
    </row>
    <row r="1113" spans="1:4" x14ac:dyDescent="0.45">
      <c r="A1113" s="29">
        <v>45831</v>
      </c>
      <c r="B1113" s="13">
        <v>7290108356717</v>
      </c>
      <c r="C1113" t="s">
        <v>22</v>
      </c>
      <c r="D1113">
        <v>3</v>
      </c>
    </row>
    <row r="1114" spans="1:4" x14ac:dyDescent="0.45">
      <c r="A1114" s="29">
        <v>45831</v>
      </c>
      <c r="B1114" s="13">
        <v>7290108356724</v>
      </c>
      <c r="C1114" t="s">
        <v>22</v>
      </c>
      <c r="D1114">
        <v>3</v>
      </c>
    </row>
    <row r="1115" spans="1:4" x14ac:dyDescent="0.45">
      <c r="A1115" s="29">
        <v>45831</v>
      </c>
      <c r="B1115" s="13">
        <v>7290108357240</v>
      </c>
      <c r="C1115" t="s">
        <v>22</v>
      </c>
      <c r="D1115">
        <v>2</v>
      </c>
    </row>
    <row r="1116" spans="1:4" x14ac:dyDescent="0.45">
      <c r="A1116" s="29">
        <v>45831</v>
      </c>
      <c r="B1116" s="13">
        <v>7290108357288</v>
      </c>
      <c r="C1116" t="s">
        <v>22</v>
      </c>
      <c r="D1116">
        <v>6</v>
      </c>
    </row>
    <row r="1117" spans="1:4" x14ac:dyDescent="0.45">
      <c r="A1117" s="29">
        <v>45831</v>
      </c>
      <c r="B1117" s="13">
        <v>7290108357844</v>
      </c>
      <c r="C1117" t="s">
        <v>22</v>
      </c>
      <c r="D1117">
        <v>3</v>
      </c>
    </row>
    <row r="1118" spans="1:4" x14ac:dyDescent="0.45">
      <c r="A1118" s="29">
        <v>45831</v>
      </c>
      <c r="B1118" s="13">
        <v>7290108359077</v>
      </c>
      <c r="C1118" t="s">
        <v>22</v>
      </c>
      <c r="D1118">
        <v>0</v>
      </c>
    </row>
    <row r="1119" spans="1:4" x14ac:dyDescent="0.45">
      <c r="A1119" s="29">
        <v>45831</v>
      </c>
      <c r="B1119" s="13">
        <v>7290108359176</v>
      </c>
      <c r="C1119" t="s">
        <v>22</v>
      </c>
      <c r="D1119">
        <v>0</v>
      </c>
    </row>
    <row r="1120" spans="1:4" x14ac:dyDescent="0.45">
      <c r="A1120" s="29">
        <v>45831</v>
      </c>
      <c r="B1120" s="13">
        <v>7290108359190</v>
      </c>
      <c r="C1120" t="s">
        <v>22</v>
      </c>
      <c r="D1120">
        <v>1</v>
      </c>
    </row>
    <row r="1121" spans="1:4" x14ac:dyDescent="0.45">
      <c r="A1121" s="29">
        <v>45831</v>
      </c>
      <c r="B1121" s="13">
        <v>8001090184375</v>
      </c>
      <c r="C1121" t="s">
        <v>22</v>
      </c>
      <c r="D1121">
        <v>2</v>
      </c>
    </row>
    <row r="1122" spans="1:4" x14ac:dyDescent="0.45">
      <c r="A1122" s="29">
        <v>45831</v>
      </c>
      <c r="B1122" s="13">
        <v>8001090184412</v>
      </c>
      <c r="C1122" t="s">
        <v>22</v>
      </c>
      <c r="D1122">
        <v>8</v>
      </c>
    </row>
    <row r="1123" spans="1:4" x14ac:dyDescent="0.45">
      <c r="A1123" s="29">
        <v>45831</v>
      </c>
      <c r="B1123" s="13">
        <v>8001841625362</v>
      </c>
      <c r="C1123" t="s">
        <v>22</v>
      </c>
      <c r="D1123">
        <v>2</v>
      </c>
    </row>
    <row r="1124" spans="1:4" x14ac:dyDescent="0.45">
      <c r="A1124" s="29">
        <v>45831</v>
      </c>
      <c r="B1124" s="13">
        <v>8001841893990</v>
      </c>
      <c r="C1124" t="s">
        <v>22</v>
      </c>
      <c r="D1124">
        <v>0</v>
      </c>
    </row>
    <row r="1125" spans="1:4" x14ac:dyDescent="0.45">
      <c r="A1125" s="29">
        <v>45831</v>
      </c>
      <c r="B1125" s="13">
        <v>8006540429327</v>
      </c>
      <c r="C1125" t="s">
        <v>22</v>
      </c>
      <c r="D1125">
        <v>8</v>
      </c>
    </row>
    <row r="1126" spans="1:4" x14ac:dyDescent="0.45">
      <c r="A1126" s="29">
        <v>45831</v>
      </c>
      <c r="B1126" s="13">
        <v>8700216163811</v>
      </c>
      <c r="C1126" t="s">
        <v>22</v>
      </c>
      <c r="D1126">
        <v>8</v>
      </c>
    </row>
    <row r="1127" spans="1:4" x14ac:dyDescent="0.45">
      <c r="A1127" s="29">
        <v>45831</v>
      </c>
      <c r="B1127" s="13">
        <v>8700216236034</v>
      </c>
      <c r="C1127" t="s">
        <v>22</v>
      </c>
      <c r="D1127">
        <v>0</v>
      </c>
    </row>
    <row r="1128" spans="1:4" x14ac:dyDescent="0.45">
      <c r="A1128" s="29">
        <v>45831</v>
      </c>
      <c r="B1128" s="13">
        <v>8700216236751</v>
      </c>
      <c r="C1128" t="s">
        <v>22</v>
      </c>
      <c r="D1128">
        <v>1</v>
      </c>
    </row>
    <row r="1129" spans="1:4" x14ac:dyDescent="0.45">
      <c r="A1129" s="29">
        <v>45832</v>
      </c>
      <c r="B1129" s="13">
        <v>4084500088917</v>
      </c>
      <c r="C1129" t="s">
        <v>22</v>
      </c>
      <c r="D1129">
        <v>5</v>
      </c>
    </row>
    <row r="1130" spans="1:4" x14ac:dyDescent="0.45">
      <c r="A1130" s="29">
        <v>45832</v>
      </c>
      <c r="B1130" s="13">
        <v>4084500853836</v>
      </c>
      <c r="C1130" t="s">
        <v>22</v>
      </c>
      <c r="D1130">
        <v>4</v>
      </c>
    </row>
    <row r="1131" spans="1:4" x14ac:dyDescent="0.45">
      <c r="A1131" s="29">
        <v>45832</v>
      </c>
      <c r="B1131" s="13">
        <v>7290000286921</v>
      </c>
      <c r="C1131" t="s">
        <v>22</v>
      </c>
      <c r="D1131">
        <v>0</v>
      </c>
    </row>
    <row r="1132" spans="1:4" x14ac:dyDescent="0.45">
      <c r="A1132" s="29">
        <v>45832</v>
      </c>
      <c r="B1132" s="13">
        <v>7290000288024</v>
      </c>
      <c r="C1132" t="s">
        <v>22</v>
      </c>
      <c r="D1132">
        <v>4</v>
      </c>
    </row>
    <row r="1133" spans="1:4" x14ac:dyDescent="0.45">
      <c r="A1133" s="29">
        <v>45832</v>
      </c>
      <c r="B1133" s="13">
        <v>7290000288307</v>
      </c>
      <c r="C1133" t="s">
        <v>22</v>
      </c>
      <c r="D1133">
        <v>1</v>
      </c>
    </row>
    <row r="1134" spans="1:4" x14ac:dyDescent="0.45">
      <c r="A1134" s="29">
        <v>45832</v>
      </c>
      <c r="B1134" s="13">
        <v>7290000288659</v>
      </c>
      <c r="C1134" t="s">
        <v>22</v>
      </c>
      <c r="D1134">
        <v>1</v>
      </c>
    </row>
    <row r="1135" spans="1:4" x14ac:dyDescent="0.45">
      <c r="A1135" s="29">
        <v>45832</v>
      </c>
      <c r="B1135" s="13">
        <v>7290000292915</v>
      </c>
      <c r="C1135" t="s">
        <v>22</v>
      </c>
      <c r="D1135">
        <v>2</v>
      </c>
    </row>
    <row r="1136" spans="1:4" x14ac:dyDescent="0.45">
      <c r="A1136" s="29">
        <v>45832</v>
      </c>
      <c r="B1136" s="13">
        <v>7290000294780</v>
      </c>
      <c r="C1136" t="s">
        <v>22</v>
      </c>
      <c r="D1136">
        <v>4</v>
      </c>
    </row>
    <row r="1137" spans="1:4" x14ac:dyDescent="0.45">
      <c r="A1137" s="29">
        <v>45832</v>
      </c>
      <c r="B1137" s="13">
        <v>7290000295367</v>
      </c>
      <c r="C1137" t="s">
        <v>22</v>
      </c>
      <c r="D1137">
        <v>2</v>
      </c>
    </row>
    <row r="1138" spans="1:4" x14ac:dyDescent="0.45">
      <c r="A1138" s="29">
        <v>45832</v>
      </c>
      <c r="B1138" s="13">
        <v>7290000295541</v>
      </c>
      <c r="C1138" t="s">
        <v>22</v>
      </c>
      <c r="D1138">
        <v>1</v>
      </c>
    </row>
    <row r="1139" spans="1:4" x14ac:dyDescent="0.45">
      <c r="A1139" s="29">
        <v>45832</v>
      </c>
      <c r="B1139" s="13">
        <v>7290001246610</v>
      </c>
      <c r="C1139" t="s">
        <v>22</v>
      </c>
      <c r="D1139">
        <v>2</v>
      </c>
    </row>
    <row r="1140" spans="1:4" x14ac:dyDescent="0.45">
      <c r="A1140" s="29">
        <v>45832</v>
      </c>
      <c r="B1140" s="13">
        <v>7290005424700</v>
      </c>
      <c r="C1140" t="s">
        <v>22</v>
      </c>
      <c r="D1140">
        <v>3</v>
      </c>
    </row>
    <row r="1141" spans="1:4" x14ac:dyDescent="0.45">
      <c r="A1141" s="29">
        <v>45832</v>
      </c>
      <c r="B1141" s="13">
        <v>7290005425110</v>
      </c>
      <c r="C1141" t="s">
        <v>22</v>
      </c>
      <c r="D1141">
        <v>2</v>
      </c>
    </row>
    <row r="1142" spans="1:4" x14ac:dyDescent="0.45">
      <c r="A1142" s="29">
        <v>45832</v>
      </c>
      <c r="B1142" s="13">
        <v>7290005425196</v>
      </c>
      <c r="C1142" t="s">
        <v>22</v>
      </c>
      <c r="D1142">
        <v>2</v>
      </c>
    </row>
    <row r="1143" spans="1:4" x14ac:dyDescent="0.45">
      <c r="A1143" s="29">
        <v>45832</v>
      </c>
      <c r="B1143" s="13">
        <v>7290012116025</v>
      </c>
      <c r="C1143" t="s">
        <v>22</v>
      </c>
      <c r="D1143">
        <v>2</v>
      </c>
    </row>
    <row r="1144" spans="1:4" x14ac:dyDescent="0.45">
      <c r="A1144" s="29">
        <v>45832</v>
      </c>
      <c r="B1144" s="13">
        <v>7290012117534</v>
      </c>
      <c r="C1144" t="s">
        <v>22</v>
      </c>
      <c r="D1144">
        <v>1</v>
      </c>
    </row>
    <row r="1145" spans="1:4" x14ac:dyDescent="0.45">
      <c r="A1145" s="29">
        <v>45832</v>
      </c>
      <c r="B1145" s="13">
        <v>7290013268204</v>
      </c>
      <c r="C1145" t="s">
        <v>22</v>
      </c>
      <c r="D1145">
        <v>1</v>
      </c>
    </row>
    <row r="1146" spans="1:4" x14ac:dyDescent="0.45">
      <c r="A1146" s="29">
        <v>45832</v>
      </c>
      <c r="B1146" s="13">
        <v>7290013268891</v>
      </c>
      <c r="C1146" t="s">
        <v>22</v>
      </c>
      <c r="D1146">
        <v>2</v>
      </c>
    </row>
    <row r="1147" spans="1:4" x14ac:dyDescent="0.45">
      <c r="A1147" s="29">
        <v>45832</v>
      </c>
      <c r="B1147" s="13">
        <v>7290013269003</v>
      </c>
      <c r="C1147" t="s">
        <v>22</v>
      </c>
      <c r="D1147">
        <v>1</v>
      </c>
    </row>
    <row r="1148" spans="1:4" x14ac:dyDescent="0.45">
      <c r="A1148" s="29">
        <v>45832</v>
      </c>
      <c r="B1148" s="13">
        <v>7290014397453</v>
      </c>
      <c r="C1148" t="s">
        <v>22</v>
      </c>
      <c r="D1148">
        <v>2</v>
      </c>
    </row>
    <row r="1149" spans="1:4" x14ac:dyDescent="0.45">
      <c r="A1149" s="29">
        <v>45832</v>
      </c>
      <c r="B1149" s="13">
        <v>7290019274483</v>
      </c>
      <c r="C1149" t="s">
        <v>22</v>
      </c>
      <c r="D1149">
        <v>2</v>
      </c>
    </row>
    <row r="1150" spans="1:4" x14ac:dyDescent="0.45">
      <c r="A1150" s="29">
        <v>45832</v>
      </c>
      <c r="B1150" s="13">
        <v>7290019274490</v>
      </c>
      <c r="C1150" t="s">
        <v>22</v>
      </c>
      <c r="D1150">
        <v>2</v>
      </c>
    </row>
    <row r="1151" spans="1:4" x14ac:dyDescent="0.45">
      <c r="A1151" s="29">
        <v>45832</v>
      </c>
      <c r="B1151" s="13">
        <v>7290019611325</v>
      </c>
      <c r="C1151" t="s">
        <v>22</v>
      </c>
      <c r="D1151">
        <v>1</v>
      </c>
    </row>
    <row r="1152" spans="1:4" x14ac:dyDescent="0.45">
      <c r="A1152" s="29">
        <v>45832</v>
      </c>
      <c r="B1152" s="13">
        <v>7290103702489</v>
      </c>
      <c r="C1152" t="s">
        <v>22</v>
      </c>
      <c r="D1152">
        <v>5</v>
      </c>
    </row>
    <row r="1153" spans="1:4" x14ac:dyDescent="0.45">
      <c r="A1153" s="29">
        <v>45832</v>
      </c>
      <c r="B1153" s="13">
        <v>7290103703370</v>
      </c>
      <c r="C1153" t="s">
        <v>22</v>
      </c>
      <c r="D1153">
        <v>5</v>
      </c>
    </row>
    <row r="1154" spans="1:4" x14ac:dyDescent="0.45">
      <c r="A1154" s="29">
        <v>45832</v>
      </c>
      <c r="B1154" s="13">
        <v>7290103704155</v>
      </c>
      <c r="C1154" t="s">
        <v>22</v>
      </c>
      <c r="D1154">
        <v>4</v>
      </c>
    </row>
    <row r="1155" spans="1:4" x14ac:dyDescent="0.45">
      <c r="A1155" s="29">
        <v>45832</v>
      </c>
      <c r="B1155" s="13">
        <v>7290103704179</v>
      </c>
      <c r="C1155" t="s">
        <v>22</v>
      </c>
      <c r="D1155">
        <v>4</v>
      </c>
    </row>
    <row r="1156" spans="1:4" x14ac:dyDescent="0.45">
      <c r="A1156" s="29">
        <v>45832</v>
      </c>
      <c r="B1156" s="13">
        <v>7290103704919</v>
      </c>
      <c r="C1156" t="s">
        <v>22</v>
      </c>
      <c r="D1156">
        <v>4</v>
      </c>
    </row>
    <row r="1157" spans="1:4" x14ac:dyDescent="0.45">
      <c r="A1157" s="29">
        <v>45832</v>
      </c>
      <c r="B1157" s="13">
        <v>7290107280099</v>
      </c>
      <c r="C1157" t="s">
        <v>22</v>
      </c>
      <c r="D1157">
        <v>1</v>
      </c>
    </row>
    <row r="1158" spans="1:4" x14ac:dyDescent="0.45">
      <c r="A1158" s="29">
        <v>45832</v>
      </c>
      <c r="B1158" s="13">
        <v>7290108351699</v>
      </c>
      <c r="C1158" t="s">
        <v>22</v>
      </c>
      <c r="D1158">
        <v>3</v>
      </c>
    </row>
    <row r="1159" spans="1:4" x14ac:dyDescent="0.45">
      <c r="A1159" s="29">
        <v>45832</v>
      </c>
      <c r="B1159" s="13">
        <v>7290108352702</v>
      </c>
      <c r="C1159" t="s">
        <v>22</v>
      </c>
      <c r="D1159">
        <v>0</v>
      </c>
    </row>
    <row r="1160" spans="1:4" x14ac:dyDescent="0.45">
      <c r="A1160" s="29">
        <v>45832</v>
      </c>
      <c r="B1160" s="13">
        <v>7290108356298</v>
      </c>
      <c r="C1160" t="s">
        <v>22</v>
      </c>
      <c r="D1160">
        <v>3</v>
      </c>
    </row>
    <row r="1161" spans="1:4" x14ac:dyDescent="0.45">
      <c r="A1161" s="29">
        <v>45832</v>
      </c>
      <c r="B1161" s="13">
        <v>7290108356700</v>
      </c>
      <c r="C1161" t="s">
        <v>22</v>
      </c>
      <c r="D1161">
        <v>1</v>
      </c>
    </row>
    <row r="1162" spans="1:4" x14ac:dyDescent="0.45">
      <c r="A1162" s="29">
        <v>45832</v>
      </c>
      <c r="B1162" s="13">
        <v>7290108356717</v>
      </c>
      <c r="C1162" t="s">
        <v>22</v>
      </c>
      <c r="D1162">
        <v>3</v>
      </c>
    </row>
    <row r="1163" spans="1:4" x14ac:dyDescent="0.45">
      <c r="A1163" s="29">
        <v>45832</v>
      </c>
      <c r="B1163" s="13">
        <v>7290108356724</v>
      </c>
      <c r="C1163" t="s">
        <v>22</v>
      </c>
      <c r="D1163">
        <v>1</v>
      </c>
    </row>
    <row r="1164" spans="1:4" x14ac:dyDescent="0.45">
      <c r="A1164" s="29">
        <v>45832</v>
      </c>
      <c r="B1164" s="13">
        <v>7290108357240</v>
      </c>
      <c r="C1164" t="s">
        <v>22</v>
      </c>
      <c r="D1164">
        <v>1</v>
      </c>
    </row>
    <row r="1165" spans="1:4" x14ac:dyDescent="0.45">
      <c r="A1165" s="29">
        <v>45832</v>
      </c>
      <c r="B1165" s="13">
        <v>7290108357288</v>
      </c>
      <c r="C1165" t="s">
        <v>22</v>
      </c>
      <c r="D1165">
        <v>5</v>
      </c>
    </row>
    <row r="1166" spans="1:4" x14ac:dyDescent="0.45">
      <c r="A1166" s="29">
        <v>45832</v>
      </c>
      <c r="B1166" s="13">
        <v>7290108357844</v>
      </c>
      <c r="C1166" t="s">
        <v>22</v>
      </c>
      <c r="D1166">
        <v>2</v>
      </c>
    </row>
    <row r="1167" spans="1:4" x14ac:dyDescent="0.45">
      <c r="A1167" s="29">
        <v>45832</v>
      </c>
      <c r="B1167" s="13">
        <v>7290108359077</v>
      </c>
      <c r="C1167" t="s">
        <v>22</v>
      </c>
      <c r="D1167">
        <v>0</v>
      </c>
    </row>
    <row r="1168" spans="1:4" x14ac:dyDescent="0.45">
      <c r="A1168" s="29">
        <v>45832</v>
      </c>
      <c r="B1168" s="13">
        <v>7290108359176</v>
      </c>
      <c r="C1168" t="s">
        <v>22</v>
      </c>
      <c r="D1168">
        <v>0</v>
      </c>
    </row>
    <row r="1169" spans="1:4" x14ac:dyDescent="0.45">
      <c r="A1169" s="29">
        <v>45832</v>
      </c>
      <c r="B1169" s="13">
        <v>7290108359190</v>
      </c>
      <c r="C1169" t="s">
        <v>22</v>
      </c>
      <c r="D1169">
        <v>0</v>
      </c>
    </row>
    <row r="1170" spans="1:4" x14ac:dyDescent="0.45">
      <c r="A1170" s="29">
        <v>45832</v>
      </c>
      <c r="B1170" s="13">
        <v>8001090184375</v>
      </c>
      <c r="C1170" t="s">
        <v>22</v>
      </c>
      <c r="D1170">
        <v>2</v>
      </c>
    </row>
    <row r="1171" spans="1:4" x14ac:dyDescent="0.45">
      <c r="A1171" s="29">
        <v>45832</v>
      </c>
      <c r="B1171" s="13">
        <v>8001090184412</v>
      </c>
      <c r="C1171" t="s">
        <v>22</v>
      </c>
      <c r="D1171">
        <v>4</v>
      </c>
    </row>
    <row r="1172" spans="1:4" x14ac:dyDescent="0.45">
      <c r="A1172" s="29">
        <v>45832</v>
      </c>
      <c r="B1172" s="13">
        <v>8001841625362</v>
      </c>
      <c r="C1172" t="s">
        <v>22</v>
      </c>
      <c r="D1172">
        <v>2</v>
      </c>
    </row>
    <row r="1173" spans="1:4" x14ac:dyDescent="0.45">
      <c r="A1173" s="29">
        <v>45832</v>
      </c>
      <c r="B1173" s="13">
        <v>8001841893990</v>
      </c>
      <c r="C1173" t="s">
        <v>22</v>
      </c>
      <c r="D1173">
        <v>1</v>
      </c>
    </row>
    <row r="1174" spans="1:4" x14ac:dyDescent="0.45">
      <c r="A1174" s="29">
        <v>45832</v>
      </c>
      <c r="B1174" s="13">
        <v>8006540429327</v>
      </c>
      <c r="C1174" t="s">
        <v>22</v>
      </c>
      <c r="D1174">
        <v>5</v>
      </c>
    </row>
    <row r="1175" spans="1:4" x14ac:dyDescent="0.45">
      <c r="A1175" s="29">
        <v>45832</v>
      </c>
      <c r="B1175" s="13">
        <v>8700216163811</v>
      </c>
      <c r="C1175" t="s">
        <v>22</v>
      </c>
      <c r="D1175">
        <v>5</v>
      </c>
    </row>
    <row r="1176" spans="1:4" x14ac:dyDescent="0.45">
      <c r="A1176" s="29">
        <v>45832</v>
      </c>
      <c r="B1176" s="13">
        <v>8700216236034</v>
      </c>
      <c r="C1176" t="s">
        <v>22</v>
      </c>
      <c r="D1176">
        <v>2</v>
      </c>
    </row>
    <row r="1177" spans="1:4" x14ac:dyDescent="0.45">
      <c r="A1177" s="29">
        <v>45832</v>
      </c>
      <c r="B1177" s="13">
        <v>8700216236751</v>
      </c>
      <c r="C1177" t="s">
        <v>22</v>
      </c>
      <c r="D1177">
        <v>1</v>
      </c>
    </row>
    <row r="1178" spans="1:4" x14ac:dyDescent="0.45">
      <c r="A1178" s="29">
        <v>45833</v>
      </c>
      <c r="B1178" s="13">
        <v>4084500088917</v>
      </c>
      <c r="C1178" t="s">
        <v>22</v>
      </c>
      <c r="D1178">
        <v>5</v>
      </c>
    </row>
    <row r="1179" spans="1:4" x14ac:dyDescent="0.45">
      <c r="A1179" s="29">
        <v>45833</v>
      </c>
      <c r="B1179" s="13">
        <v>4084500853836</v>
      </c>
      <c r="C1179" t="s">
        <v>22</v>
      </c>
      <c r="D1179">
        <v>4</v>
      </c>
    </row>
    <row r="1180" spans="1:4" x14ac:dyDescent="0.45">
      <c r="A1180" s="29">
        <v>45833</v>
      </c>
      <c r="B1180" s="13">
        <v>7290000286921</v>
      </c>
      <c r="C1180" t="s">
        <v>22</v>
      </c>
      <c r="D1180">
        <v>1</v>
      </c>
    </row>
    <row r="1181" spans="1:4" x14ac:dyDescent="0.45">
      <c r="A1181" s="29">
        <v>45833</v>
      </c>
      <c r="B1181" s="13">
        <v>7290000288024</v>
      </c>
      <c r="C1181" t="s">
        <v>22</v>
      </c>
      <c r="D1181">
        <v>5</v>
      </c>
    </row>
    <row r="1182" spans="1:4" x14ac:dyDescent="0.45">
      <c r="A1182" s="29">
        <v>45833</v>
      </c>
      <c r="B1182" s="13">
        <v>7290000288307</v>
      </c>
      <c r="C1182" t="s">
        <v>22</v>
      </c>
      <c r="D1182">
        <v>0</v>
      </c>
    </row>
    <row r="1183" spans="1:4" x14ac:dyDescent="0.45">
      <c r="A1183" s="29">
        <v>45833</v>
      </c>
      <c r="B1183" s="13">
        <v>7290000288659</v>
      </c>
      <c r="C1183" t="s">
        <v>22</v>
      </c>
      <c r="D1183">
        <v>0</v>
      </c>
    </row>
    <row r="1184" spans="1:4" x14ac:dyDescent="0.45">
      <c r="A1184" s="29">
        <v>45833</v>
      </c>
      <c r="B1184" s="13">
        <v>7290000292915</v>
      </c>
      <c r="C1184" t="s">
        <v>22</v>
      </c>
      <c r="D1184">
        <v>1</v>
      </c>
    </row>
    <row r="1185" spans="1:4" x14ac:dyDescent="0.45">
      <c r="A1185" s="29">
        <v>45833</v>
      </c>
      <c r="B1185" s="13">
        <v>7290000294780</v>
      </c>
      <c r="C1185" t="s">
        <v>22</v>
      </c>
      <c r="D1185">
        <v>5</v>
      </c>
    </row>
    <row r="1186" spans="1:4" x14ac:dyDescent="0.45">
      <c r="A1186" s="29">
        <v>45833</v>
      </c>
      <c r="B1186" s="13">
        <v>7290000295367</v>
      </c>
      <c r="C1186" t="s">
        <v>22</v>
      </c>
      <c r="D1186">
        <v>1</v>
      </c>
    </row>
    <row r="1187" spans="1:4" x14ac:dyDescent="0.45">
      <c r="A1187" s="29">
        <v>45833</v>
      </c>
      <c r="B1187" s="13">
        <v>7290000295541</v>
      </c>
      <c r="C1187" t="s">
        <v>22</v>
      </c>
      <c r="D1187">
        <v>0</v>
      </c>
    </row>
    <row r="1188" spans="1:4" x14ac:dyDescent="0.45">
      <c r="A1188" s="29">
        <v>45833</v>
      </c>
      <c r="B1188" s="13">
        <v>7290001246610</v>
      </c>
      <c r="C1188" t="s">
        <v>22</v>
      </c>
      <c r="D1188">
        <v>2</v>
      </c>
    </row>
    <row r="1189" spans="1:4" x14ac:dyDescent="0.45">
      <c r="A1189" s="29">
        <v>45833</v>
      </c>
      <c r="B1189" s="13">
        <v>7290005424700</v>
      </c>
      <c r="C1189" t="s">
        <v>22</v>
      </c>
      <c r="D1189">
        <v>2</v>
      </c>
    </row>
    <row r="1190" spans="1:4" x14ac:dyDescent="0.45">
      <c r="A1190" s="29">
        <v>45833</v>
      </c>
      <c r="B1190" s="13">
        <v>7290005425110</v>
      </c>
      <c r="C1190" t="s">
        <v>22</v>
      </c>
      <c r="D1190">
        <v>1</v>
      </c>
    </row>
    <row r="1191" spans="1:4" x14ac:dyDescent="0.45">
      <c r="A1191" s="29">
        <v>45833</v>
      </c>
      <c r="B1191" s="13">
        <v>7290005425196</v>
      </c>
      <c r="C1191" t="s">
        <v>22</v>
      </c>
      <c r="D1191">
        <v>2</v>
      </c>
    </row>
    <row r="1192" spans="1:4" x14ac:dyDescent="0.45">
      <c r="A1192" s="29">
        <v>45833</v>
      </c>
      <c r="B1192" s="13">
        <v>7290012116025</v>
      </c>
      <c r="C1192" t="s">
        <v>22</v>
      </c>
      <c r="D1192">
        <v>2</v>
      </c>
    </row>
    <row r="1193" spans="1:4" x14ac:dyDescent="0.45">
      <c r="A1193" s="29">
        <v>45833</v>
      </c>
      <c r="B1193" s="13">
        <v>7290012117534</v>
      </c>
      <c r="C1193" t="s">
        <v>22</v>
      </c>
      <c r="D1193">
        <v>1</v>
      </c>
    </row>
    <row r="1194" spans="1:4" x14ac:dyDescent="0.45">
      <c r="A1194" s="29">
        <v>45833</v>
      </c>
      <c r="B1194" s="13">
        <v>7290013268204</v>
      </c>
      <c r="C1194" t="s">
        <v>22</v>
      </c>
      <c r="D1194">
        <v>1</v>
      </c>
    </row>
    <row r="1195" spans="1:4" x14ac:dyDescent="0.45">
      <c r="A1195" s="29">
        <v>45833</v>
      </c>
      <c r="B1195" s="13">
        <v>7290013268891</v>
      </c>
      <c r="C1195" t="s">
        <v>22</v>
      </c>
      <c r="D1195">
        <v>2</v>
      </c>
    </row>
    <row r="1196" spans="1:4" x14ac:dyDescent="0.45">
      <c r="A1196" s="29">
        <v>45833</v>
      </c>
      <c r="B1196" s="13">
        <v>7290013269003</v>
      </c>
      <c r="C1196" t="s">
        <v>22</v>
      </c>
      <c r="D1196">
        <v>1</v>
      </c>
    </row>
    <row r="1197" spans="1:4" x14ac:dyDescent="0.45">
      <c r="A1197" s="29">
        <v>45833</v>
      </c>
      <c r="B1197" s="13">
        <v>7290014397453</v>
      </c>
      <c r="C1197" t="s">
        <v>22</v>
      </c>
      <c r="D1197">
        <v>1</v>
      </c>
    </row>
    <row r="1198" spans="1:4" x14ac:dyDescent="0.45">
      <c r="A1198" s="29">
        <v>45833</v>
      </c>
      <c r="B1198" s="13">
        <v>7290019274483</v>
      </c>
      <c r="C1198" t="s">
        <v>22</v>
      </c>
      <c r="D1198">
        <v>1</v>
      </c>
    </row>
    <row r="1199" spans="1:4" x14ac:dyDescent="0.45">
      <c r="A1199" s="29">
        <v>45833</v>
      </c>
      <c r="B1199" s="13">
        <v>7290019274490</v>
      </c>
      <c r="C1199" t="s">
        <v>22</v>
      </c>
      <c r="D1199">
        <v>1</v>
      </c>
    </row>
    <row r="1200" spans="1:4" x14ac:dyDescent="0.45">
      <c r="A1200" s="29">
        <v>45833</v>
      </c>
      <c r="B1200" s="13">
        <v>7290019611325</v>
      </c>
      <c r="C1200" t="s">
        <v>22</v>
      </c>
      <c r="D1200">
        <v>1</v>
      </c>
    </row>
    <row r="1201" spans="1:4" x14ac:dyDescent="0.45">
      <c r="A1201" s="29">
        <v>45833</v>
      </c>
      <c r="B1201" s="13">
        <v>7290103702489</v>
      </c>
      <c r="C1201" t="s">
        <v>22</v>
      </c>
      <c r="D1201">
        <v>4</v>
      </c>
    </row>
    <row r="1202" spans="1:4" x14ac:dyDescent="0.45">
      <c r="A1202" s="29">
        <v>45833</v>
      </c>
      <c r="B1202" s="13">
        <v>7290103703370</v>
      </c>
      <c r="C1202" t="s">
        <v>22</v>
      </c>
      <c r="D1202">
        <v>4</v>
      </c>
    </row>
    <row r="1203" spans="1:4" x14ac:dyDescent="0.45">
      <c r="A1203" s="29">
        <v>45833</v>
      </c>
      <c r="B1203" s="13">
        <v>7290103704155</v>
      </c>
      <c r="C1203" t="s">
        <v>22</v>
      </c>
      <c r="D1203">
        <v>4</v>
      </c>
    </row>
    <row r="1204" spans="1:4" x14ac:dyDescent="0.45">
      <c r="A1204" s="29">
        <v>45833</v>
      </c>
      <c r="B1204" s="13">
        <v>7290103704179</v>
      </c>
      <c r="C1204" t="s">
        <v>22</v>
      </c>
      <c r="D1204">
        <v>4</v>
      </c>
    </row>
    <row r="1205" spans="1:4" x14ac:dyDescent="0.45">
      <c r="A1205" s="29">
        <v>45833</v>
      </c>
      <c r="B1205" s="13">
        <v>7290103704919</v>
      </c>
      <c r="C1205" t="s">
        <v>22</v>
      </c>
      <c r="D1205">
        <v>4</v>
      </c>
    </row>
    <row r="1206" spans="1:4" x14ac:dyDescent="0.45">
      <c r="A1206" s="29">
        <v>45833</v>
      </c>
      <c r="B1206" s="13">
        <v>7290107280099</v>
      </c>
      <c r="C1206" t="s">
        <v>22</v>
      </c>
      <c r="D1206">
        <v>1</v>
      </c>
    </row>
    <row r="1207" spans="1:4" x14ac:dyDescent="0.45">
      <c r="A1207" s="29">
        <v>45833</v>
      </c>
      <c r="B1207" s="13">
        <v>7290108351699</v>
      </c>
      <c r="C1207" t="s">
        <v>22</v>
      </c>
      <c r="D1207">
        <v>2</v>
      </c>
    </row>
    <row r="1208" spans="1:4" x14ac:dyDescent="0.45">
      <c r="A1208" s="29">
        <v>45833</v>
      </c>
      <c r="B1208" s="13">
        <v>7290108352702</v>
      </c>
      <c r="C1208" t="s">
        <v>22</v>
      </c>
      <c r="D1208">
        <v>1</v>
      </c>
    </row>
    <row r="1209" spans="1:4" x14ac:dyDescent="0.45">
      <c r="A1209" s="29">
        <v>45833</v>
      </c>
      <c r="B1209" s="13">
        <v>7290108356298</v>
      </c>
      <c r="C1209" t="s">
        <v>22</v>
      </c>
      <c r="D1209">
        <v>1</v>
      </c>
    </row>
    <row r="1210" spans="1:4" x14ac:dyDescent="0.45">
      <c r="A1210" s="29">
        <v>45833</v>
      </c>
      <c r="B1210" s="13">
        <v>7290108356700</v>
      </c>
      <c r="C1210" t="s">
        <v>22</v>
      </c>
      <c r="D1210">
        <v>1</v>
      </c>
    </row>
    <row r="1211" spans="1:4" x14ac:dyDescent="0.45">
      <c r="A1211" s="29">
        <v>45833</v>
      </c>
      <c r="B1211" s="13">
        <v>7290108356717</v>
      </c>
      <c r="C1211" t="s">
        <v>22</v>
      </c>
      <c r="D1211">
        <v>3</v>
      </c>
    </row>
    <row r="1212" spans="1:4" x14ac:dyDescent="0.45">
      <c r="A1212" s="29">
        <v>45833</v>
      </c>
      <c r="B1212" s="13">
        <v>7290108356724</v>
      </c>
      <c r="C1212" t="s">
        <v>22</v>
      </c>
      <c r="D1212">
        <v>2</v>
      </c>
    </row>
    <row r="1213" spans="1:4" x14ac:dyDescent="0.45">
      <c r="A1213" s="29">
        <v>45833</v>
      </c>
      <c r="B1213" s="13">
        <v>7290108357240</v>
      </c>
      <c r="C1213" t="s">
        <v>22</v>
      </c>
      <c r="D1213">
        <v>2</v>
      </c>
    </row>
    <row r="1214" spans="1:4" x14ac:dyDescent="0.45">
      <c r="A1214" s="29">
        <v>45833</v>
      </c>
      <c r="B1214" s="13">
        <v>7290108357288</v>
      </c>
      <c r="C1214" t="s">
        <v>22</v>
      </c>
      <c r="D1214">
        <v>4</v>
      </c>
    </row>
    <row r="1215" spans="1:4" x14ac:dyDescent="0.45">
      <c r="A1215" s="29">
        <v>45833</v>
      </c>
      <c r="B1215" s="13">
        <v>7290108357844</v>
      </c>
      <c r="C1215" t="s">
        <v>22</v>
      </c>
      <c r="D1215">
        <v>2</v>
      </c>
    </row>
    <row r="1216" spans="1:4" x14ac:dyDescent="0.45">
      <c r="A1216" s="29">
        <v>45833</v>
      </c>
      <c r="B1216" s="13">
        <v>7290108359077</v>
      </c>
      <c r="C1216" t="s">
        <v>22</v>
      </c>
      <c r="D1216">
        <v>0</v>
      </c>
    </row>
    <row r="1217" spans="1:4" x14ac:dyDescent="0.45">
      <c r="A1217" s="29">
        <v>45833</v>
      </c>
      <c r="B1217" s="13">
        <v>7290108359176</v>
      </c>
      <c r="C1217" t="s">
        <v>22</v>
      </c>
      <c r="D1217">
        <v>1</v>
      </c>
    </row>
    <row r="1218" spans="1:4" x14ac:dyDescent="0.45">
      <c r="A1218" s="29">
        <v>45833</v>
      </c>
      <c r="B1218" s="13">
        <v>7290108359190</v>
      </c>
      <c r="C1218" t="s">
        <v>22</v>
      </c>
      <c r="D1218">
        <v>0</v>
      </c>
    </row>
    <row r="1219" spans="1:4" x14ac:dyDescent="0.45">
      <c r="A1219" s="29">
        <v>45833</v>
      </c>
      <c r="B1219" s="13">
        <v>8001090184375</v>
      </c>
      <c r="C1219" t="s">
        <v>22</v>
      </c>
      <c r="D1219">
        <v>2</v>
      </c>
    </row>
    <row r="1220" spans="1:4" x14ac:dyDescent="0.45">
      <c r="A1220" s="29">
        <v>45833</v>
      </c>
      <c r="B1220" s="13">
        <v>8001090184412</v>
      </c>
      <c r="C1220" t="s">
        <v>22</v>
      </c>
      <c r="D1220">
        <v>5</v>
      </c>
    </row>
    <row r="1221" spans="1:4" x14ac:dyDescent="0.45">
      <c r="A1221" s="29">
        <v>45833</v>
      </c>
      <c r="B1221" s="13">
        <v>8001841625362</v>
      </c>
      <c r="C1221" t="s">
        <v>22</v>
      </c>
      <c r="D1221">
        <v>1</v>
      </c>
    </row>
    <row r="1222" spans="1:4" x14ac:dyDescent="0.45">
      <c r="A1222" s="29">
        <v>45833</v>
      </c>
      <c r="B1222" s="13">
        <v>8001841893990</v>
      </c>
      <c r="C1222" t="s">
        <v>22</v>
      </c>
      <c r="D1222">
        <v>0</v>
      </c>
    </row>
    <row r="1223" spans="1:4" x14ac:dyDescent="0.45">
      <c r="A1223" s="29">
        <v>45833</v>
      </c>
      <c r="B1223" s="13">
        <v>8006540429327</v>
      </c>
      <c r="C1223" t="s">
        <v>22</v>
      </c>
      <c r="D1223">
        <v>4</v>
      </c>
    </row>
    <row r="1224" spans="1:4" x14ac:dyDescent="0.45">
      <c r="A1224" s="29">
        <v>45833</v>
      </c>
      <c r="B1224" s="13">
        <v>8700216163811</v>
      </c>
      <c r="C1224" t="s">
        <v>22</v>
      </c>
      <c r="D1224">
        <v>5</v>
      </c>
    </row>
    <row r="1225" spans="1:4" x14ac:dyDescent="0.45">
      <c r="A1225" s="29">
        <v>45833</v>
      </c>
      <c r="B1225" s="13">
        <v>8700216236034</v>
      </c>
      <c r="C1225" t="s">
        <v>22</v>
      </c>
      <c r="D1225">
        <v>0</v>
      </c>
    </row>
    <row r="1226" spans="1:4" x14ac:dyDescent="0.45">
      <c r="A1226" s="29">
        <v>45833</v>
      </c>
      <c r="B1226" s="13">
        <v>8700216236751</v>
      </c>
      <c r="C1226" t="s">
        <v>22</v>
      </c>
      <c r="D1226">
        <v>2</v>
      </c>
    </row>
    <row r="1227" spans="1:4" x14ac:dyDescent="0.45">
      <c r="A1227" s="29">
        <v>45834</v>
      </c>
      <c r="B1227" s="13">
        <v>4084500088917</v>
      </c>
      <c r="C1227" t="s">
        <v>22</v>
      </c>
      <c r="D1227">
        <v>5</v>
      </c>
    </row>
    <row r="1228" spans="1:4" x14ac:dyDescent="0.45">
      <c r="A1228" s="29">
        <v>45834</v>
      </c>
      <c r="B1228" s="13">
        <v>4084500853836</v>
      </c>
      <c r="C1228" t="s">
        <v>22</v>
      </c>
      <c r="D1228">
        <v>5</v>
      </c>
    </row>
    <row r="1229" spans="1:4" x14ac:dyDescent="0.45">
      <c r="A1229" s="29">
        <v>45834</v>
      </c>
      <c r="B1229" s="13">
        <v>7290000286921</v>
      </c>
      <c r="C1229" t="s">
        <v>22</v>
      </c>
      <c r="D1229">
        <v>1</v>
      </c>
    </row>
    <row r="1230" spans="1:4" x14ac:dyDescent="0.45">
      <c r="A1230" s="29">
        <v>45834</v>
      </c>
      <c r="B1230" s="13">
        <v>7290000288024</v>
      </c>
      <c r="C1230" t="s">
        <v>22</v>
      </c>
      <c r="D1230">
        <v>5</v>
      </c>
    </row>
    <row r="1231" spans="1:4" x14ac:dyDescent="0.45">
      <c r="A1231" s="29">
        <v>45834</v>
      </c>
      <c r="B1231" s="13">
        <v>7290000288307</v>
      </c>
      <c r="C1231" t="s">
        <v>22</v>
      </c>
      <c r="D1231">
        <v>1</v>
      </c>
    </row>
    <row r="1232" spans="1:4" x14ac:dyDescent="0.45">
      <c r="A1232" s="29">
        <v>45834</v>
      </c>
      <c r="B1232" s="13">
        <v>7290000288659</v>
      </c>
      <c r="C1232" t="s">
        <v>22</v>
      </c>
      <c r="D1232">
        <v>1</v>
      </c>
    </row>
    <row r="1233" spans="1:4" x14ac:dyDescent="0.45">
      <c r="A1233" s="29">
        <v>45834</v>
      </c>
      <c r="B1233" s="13">
        <v>7290000292915</v>
      </c>
      <c r="C1233" t="s">
        <v>22</v>
      </c>
      <c r="D1233">
        <v>3</v>
      </c>
    </row>
    <row r="1234" spans="1:4" x14ac:dyDescent="0.45">
      <c r="A1234" s="29">
        <v>45834</v>
      </c>
      <c r="B1234" s="13">
        <v>7290000294780</v>
      </c>
      <c r="C1234" t="s">
        <v>22</v>
      </c>
      <c r="D1234">
        <v>4</v>
      </c>
    </row>
    <row r="1235" spans="1:4" x14ac:dyDescent="0.45">
      <c r="A1235" s="29">
        <v>45834</v>
      </c>
      <c r="B1235" s="13">
        <v>7290000295367</v>
      </c>
      <c r="C1235" t="s">
        <v>22</v>
      </c>
      <c r="D1235">
        <v>2</v>
      </c>
    </row>
    <row r="1236" spans="1:4" x14ac:dyDescent="0.45">
      <c r="A1236" s="29">
        <v>45834</v>
      </c>
      <c r="B1236" s="13">
        <v>7290000295541</v>
      </c>
      <c r="C1236" t="s">
        <v>22</v>
      </c>
      <c r="D1236">
        <v>1</v>
      </c>
    </row>
    <row r="1237" spans="1:4" x14ac:dyDescent="0.45">
      <c r="A1237" s="29">
        <v>45834</v>
      </c>
      <c r="B1237" s="13">
        <v>7290001246610</v>
      </c>
      <c r="C1237" t="s">
        <v>22</v>
      </c>
      <c r="D1237">
        <v>1</v>
      </c>
    </row>
    <row r="1238" spans="1:4" x14ac:dyDescent="0.45">
      <c r="A1238" s="29">
        <v>45834</v>
      </c>
      <c r="B1238" s="13">
        <v>7290005424700</v>
      </c>
      <c r="C1238" t="s">
        <v>22</v>
      </c>
      <c r="D1238">
        <v>2</v>
      </c>
    </row>
    <row r="1239" spans="1:4" x14ac:dyDescent="0.45">
      <c r="A1239" s="29">
        <v>45834</v>
      </c>
      <c r="B1239" s="13">
        <v>7290005425110</v>
      </c>
      <c r="C1239" t="s">
        <v>22</v>
      </c>
      <c r="D1239">
        <v>1</v>
      </c>
    </row>
    <row r="1240" spans="1:4" x14ac:dyDescent="0.45">
      <c r="A1240" s="29">
        <v>45834</v>
      </c>
      <c r="B1240" s="13">
        <v>7290005425196</v>
      </c>
      <c r="C1240" t="s">
        <v>22</v>
      </c>
      <c r="D1240">
        <v>1</v>
      </c>
    </row>
    <row r="1241" spans="1:4" x14ac:dyDescent="0.45">
      <c r="A1241" s="29">
        <v>45834</v>
      </c>
      <c r="B1241" s="13">
        <v>7290012116025</v>
      </c>
      <c r="C1241" t="s">
        <v>22</v>
      </c>
      <c r="D1241">
        <v>3</v>
      </c>
    </row>
    <row r="1242" spans="1:4" x14ac:dyDescent="0.45">
      <c r="A1242" s="29">
        <v>45834</v>
      </c>
      <c r="B1242" s="13">
        <v>7290012117534</v>
      </c>
      <c r="C1242" t="s">
        <v>22</v>
      </c>
      <c r="D1242">
        <v>1</v>
      </c>
    </row>
    <row r="1243" spans="1:4" x14ac:dyDescent="0.45">
      <c r="A1243" s="29">
        <v>45834</v>
      </c>
      <c r="B1243" s="13">
        <v>7290013268204</v>
      </c>
      <c r="C1243" t="s">
        <v>22</v>
      </c>
      <c r="D1243">
        <v>1</v>
      </c>
    </row>
    <row r="1244" spans="1:4" x14ac:dyDescent="0.45">
      <c r="A1244" s="29">
        <v>45834</v>
      </c>
      <c r="B1244" s="13">
        <v>7290013268891</v>
      </c>
      <c r="C1244" t="s">
        <v>22</v>
      </c>
      <c r="D1244">
        <v>2</v>
      </c>
    </row>
    <row r="1245" spans="1:4" x14ac:dyDescent="0.45">
      <c r="A1245" s="29">
        <v>45834</v>
      </c>
      <c r="B1245" s="13">
        <v>7290013269003</v>
      </c>
      <c r="C1245" t="s">
        <v>22</v>
      </c>
      <c r="D1245">
        <v>2</v>
      </c>
    </row>
    <row r="1246" spans="1:4" x14ac:dyDescent="0.45">
      <c r="A1246" s="29">
        <v>45834</v>
      </c>
      <c r="B1246" s="13">
        <v>7290014397453</v>
      </c>
      <c r="C1246" t="s">
        <v>22</v>
      </c>
      <c r="D1246">
        <v>1</v>
      </c>
    </row>
    <row r="1247" spans="1:4" x14ac:dyDescent="0.45">
      <c r="A1247" s="29">
        <v>45834</v>
      </c>
      <c r="B1247" s="13">
        <v>7290019274483</v>
      </c>
      <c r="C1247" t="s">
        <v>22</v>
      </c>
      <c r="D1247">
        <v>1</v>
      </c>
    </row>
    <row r="1248" spans="1:4" x14ac:dyDescent="0.45">
      <c r="A1248" s="29">
        <v>45834</v>
      </c>
      <c r="B1248" s="13">
        <v>7290019274490</v>
      </c>
      <c r="C1248" t="s">
        <v>22</v>
      </c>
      <c r="D1248">
        <v>1</v>
      </c>
    </row>
    <row r="1249" spans="1:4" x14ac:dyDescent="0.45">
      <c r="A1249" s="29">
        <v>45834</v>
      </c>
      <c r="B1249" s="13">
        <v>7290019611325</v>
      </c>
      <c r="C1249" t="s">
        <v>22</v>
      </c>
      <c r="D1249">
        <v>2</v>
      </c>
    </row>
    <row r="1250" spans="1:4" x14ac:dyDescent="0.45">
      <c r="A1250" s="29">
        <v>45834</v>
      </c>
      <c r="B1250" s="13">
        <v>7290103702489</v>
      </c>
      <c r="C1250" t="s">
        <v>22</v>
      </c>
      <c r="D1250">
        <v>5</v>
      </c>
    </row>
    <row r="1251" spans="1:4" x14ac:dyDescent="0.45">
      <c r="A1251" s="29">
        <v>45834</v>
      </c>
      <c r="B1251" s="13">
        <v>7290103703370</v>
      </c>
      <c r="C1251" t="s">
        <v>22</v>
      </c>
      <c r="D1251">
        <v>5</v>
      </c>
    </row>
    <row r="1252" spans="1:4" x14ac:dyDescent="0.45">
      <c r="A1252" s="29">
        <v>45834</v>
      </c>
      <c r="B1252" s="13">
        <v>7290103704155</v>
      </c>
      <c r="C1252" t="s">
        <v>22</v>
      </c>
      <c r="D1252">
        <v>4</v>
      </c>
    </row>
    <row r="1253" spans="1:4" x14ac:dyDescent="0.45">
      <c r="A1253" s="29">
        <v>45834</v>
      </c>
      <c r="B1253" s="13">
        <v>7290103704179</v>
      </c>
      <c r="C1253" t="s">
        <v>22</v>
      </c>
      <c r="D1253">
        <v>4</v>
      </c>
    </row>
    <row r="1254" spans="1:4" x14ac:dyDescent="0.45">
      <c r="A1254" s="29">
        <v>45834</v>
      </c>
      <c r="B1254" s="13">
        <v>7290103704919</v>
      </c>
      <c r="C1254" t="s">
        <v>22</v>
      </c>
      <c r="D1254">
        <v>4</v>
      </c>
    </row>
    <row r="1255" spans="1:4" x14ac:dyDescent="0.45">
      <c r="A1255" s="29">
        <v>45834</v>
      </c>
      <c r="B1255" s="13">
        <v>7290107280099</v>
      </c>
      <c r="C1255" t="s">
        <v>22</v>
      </c>
      <c r="D1255">
        <v>1</v>
      </c>
    </row>
    <row r="1256" spans="1:4" x14ac:dyDescent="0.45">
      <c r="A1256" s="29">
        <v>45834</v>
      </c>
      <c r="B1256" s="13">
        <v>7290108351699</v>
      </c>
      <c r="C1256" t="s">
        <v>22</v>
      </c>
      <c r="D1256">
        <v>2</v>
      </c>
    </row>
    <row r="1257" spans="1:4" x14ac:dyDescent="0.45">
      <c r="A1257" s="29">
        <v>45834</v>
      </c>
      <c r="B1257" s="13">
        <v>7290108352702</v>
      </c>
      <c r="C1257" t="s">
        <v>22</v>
      </c>
      <c r="D1257">
        <v>1</v>
      </c>
    </row>
    <row r="1258" spans="1:4" x14ac:dyDescent="0.45">
      <c r="A1258" s="29">
        <v>45834</v>
      </c>
      <c r="B1258" s="13">
        <v>7290108356298</v>
      </c>
      <c r="C1258" t="s">
        <v>22</v>
      </c>
      <c r="D1258">
        <v>3</v>
      </c>
    </row>
    <row r="1259" spans="1:4" x14ac:dyDescent="0.45">
      <c r="A1259" s="29">
        <v>45834</v>
      </c>
      <c r="B1259" s="13">
        <v>7290108356700</v>
      </c>
      <c r="C1259" t="s">
        <v>22</v>
      </c>
      <c r="D1259">
        <v>0</v>
      </c>
    </row>
    <row r="1260" spans="1:4" x14ac:dyDescent="0.45">
      <c r="A1260" s="29">
        <v>45834</v>
      </c>
      <c r="B1260" s="13">
        <v>7290108356717</v>
      </c>
      <c r="C1260" t="s">
        <v>22</v>
      </c>
      <c r="D1260">
        <v>3</v>
      </c>
    </row>
    <row r="1261" spans="1:4" x14ac:dyDescent="0.45">
      <c r="A1261" s="29">
        <v>45834</v>
      </c>
      <c r="B1261" s="13">
        <v>7290108356724</v>
      </c>
      <c r="C1261" t="s">
        <v>22</v>
      </c>
      <c r="D1261">
        <v>2</v>
      </c>
    </row>
    <row r="1262" spans="1:4" x14ac:dyDescent="0.45">
      <c r="A1262" s="29">
        <v>45834</v>
      </c>
      <c r="B1262" s="13">
        <v>7290108357240</v>
      </c>
      <c r="C1262" t="s">
        <v>22</v>
      </c>
      <c r="D1262">
        <v>1</v>
      </c>
    </row>
    <row r="1263" spans="1:4" x14ac:dyDescent="0.45">
      <c r="A1263" s="29">
        <v>45834</v>
      </c>
      <c r="B1263" s="13">
        <v>7290108357288</v>
      </c>
      <c r="C1263" t="s">
        <v>22</v>
      </c>
      <c r="D1263">
        <v>5</v>
      </c>
    </row>
    <row r="1264" spans="1:4" x14ac:dyDescent="0.45">
      <c r="A1264" s="29">
        <v>45834</v>
      </c>
      <c r="B1264" s="13">
        <v>7290108357844</v>
      </c>
      <c r="C1264" t="s">
        <v>22</v>
      </c>
      <c r="D1264">
        <v>2</v>
      </c>
    </row>
    <row r="1265" spans="1:4" x14ac:dyDescent="0.45">
      <c r="A1265" s="29">
        <v>45834</v>
      </c>
      <c r="B1265" s="13">
        <v>7290108359077</v>
      </c>
      <c r="C1265" t="s">
        <v>22</v>
      </c>
      <c r="D1265">
        <v>1</v>
      </c>
    </row>
    <row r="1266" spans="1:4" x14ac:dyDescent="0.45">
      <c r="A1266" s="29">
        <v>45834</v>
      </c>
      <c r="B1266" s="13">
        <v>7290108359176</v>
      </c>
      <c r="C1266" t="s">
        <v>22</v>
      </c>
      <c r="D1266">
        <v>1</v>
      </c>
    </row>
    <row r="1267" spans="1:4" x14ac:dyDescent="0.45">
      <c r="A1267" s="29">
        <v>45834</v>
      </c>
      <c r="B1267" s="13">
        <v>7290108359190</v>
      </c>
      <c r="C1267" t="s">
        <v>22</v>
      </c>
      <c r="D1267">
        <v>0</v>
      </c>
    </row>
    <row r="1268" spans="1:4" x14ac:dyDescent="0.45">
      <c r="A1268" s="29">
        <v>45834</v>
      </c>
      <c r="B1268" s="13">
        <v>8001090184375</v>
      </c>
      <c r="C1268" t="s">
        <v>22</v>
      </c>
      <c r="D1268">
        <v>2</v>
      </c>
    </row>
    <row r="1269" spans="1:4" x14ac:dyDescent="0.45">
      <c r="A1269" s="29">
        <v>45834</v>
      </c>
      <c r="B1269" s="13">
        <v>8001090184412</v>
      </c>
      <c r="C1269" t="s">
        <v>22</v>
      </c>
      <c r="D1269">
        <v>4</v>
      </c>
    </row>
    <row r="1270" spans="1:4" x14ac:dyDescent="0.45">
      <c r="A1270" s="29">
        <v>45834</v>
      </c>
      <c r="B1270" s="13">
        <v>8001841625362</v>
      </c>
      <c r="C1270" t="s">
        <v>22</v>
      </c>
      <c r="D1270">
        <v>1</v>
      </c>
    </row>
    <row r="1271" spans="1:4" x14ac:dyDescent="0.45">
      <c r="A1271" s="29">
        <v>45834</v>
      </c>
      <c r="B1271" s="13">
        <v>8001841893990</v>
      </c>
      <c r="C1271" t="s">
        <v>22</v>
      </c>
      <c r="D1271">
        <v>1</v>
      </c>
    </row>
    <row r="1272" spans="1:4" x14ac:dyDescent="0.45">
      <c r="A1272" s="29">
        <v>45834</v>
      </c>
      <c r="B1272" s="13">
        <v>8006540429327</v>
      </c>
      <c r="C1272" t="s">
        <v>22</v>
      </c>
      <c r="D1272">
        <v>5</v>
      </c>
    </row>
    <row r="1273" spans="1:4" x14ac:dyDescent="0.45">
      <c r="A1273" s="29">
        <v>45834</v>
      </c>
      <c r="B1273" s="13">
        <v>8700216163811</v>
      </c>
      <c r="C1273" t="s">
        <v>22</v>
      </c>
      <c r="D1273">
        <v>5</v>
      </c>
    </row>
    <row r="1274" spans="1:4" x14ac:dyDescent="0.45">
      <c r="A1274" s="29">
        <v>45834</v>
      </c>
      <c r="B1274" s="13">
        <v>8700216236034</v>
      </c>
      <c r="C1274" t="s">
        <v>22</v>
      </c>
      <c r="D1274">
        <v>0</v>
      </c>
    </row>
    <row r="1275" spans="1:4" x14ac:dyDescent="0.45">
      <c r="A1275" s="29">
        <v>45834</v>
      </c>
      <c r="B1275" s="13">
        <v>8700216236751</v>
      </c>
      <c r="C1275" t="s">
        <v>22</v>
      </c>
      <c r="D1275">
        <v>2</v>
      </c>
    </row>
    <row r="1276" spans="1:4" x14ac:dyDescent="0.45">
      <c r="A1276" s="29">
        <v>45835</v>
      </c>
      <c r="B1276" s="13">
        <v>4084500088917</v>
      </c>
      <c r="C1276" t="s">
        <v>22</v>
      </c>
      <c r="D1276">
        <v>10</v>
      </c>
    </row>
    <row r="1277" spans="1:4" x14ac:dyDescent="0.45">
      <c r="A1277" s="29">
        <v>45835</v>
      </c>
      <c r="B1277" s="13">
        <v>4084500853836</v>
      </c>
      <c r="C1277" t="s">
        <v>22</v>
      </c>
      <c r="D1277">
        <v>8</v>
      </c>
    </row>
    <row r="1278" spans="1:4" x14ac:dyDescent="0.45">
      <c r="A1278" s="29">
        <v>45835</v>
      </c>
      <c r="B1278" s="13">
        <v>7290000286921</v>
      </c>
      <c r="C1278" t="s">
        <v>22</v>
      </c>
      <c r="D1278">
        <v>2</v>
      </c>
    </row>
    <row r="1279" spans="1:4" x14ac:dyDescent="0.45">
      <c r="A1279" s="29">
        <v>45835</v>
      </c>
      <c r="B1279" s="13">
        <v>7290000288024</v>
      </c>
      <c r="C1279" t="s">
        <v>22</v>
      </c>
      <c r="D1279">
        <v>10</v>
      </c>
    </row>
    <row r="1280" spans="1:4" x14ac:dyDescent="0.45">
      <c r="A1280" s="29">
        <v>45835</v>
      </c>
      <c r="B1280" s="13">
        <v>7290000288307</v>
      </c>
      <c r="C1280" t="s">
        <v>22</v>
      </c>
      <c r="D1280">
        <v>4</v>
      </c>
    </row>
    <row r="1281" spans="1:4" x14ac:dyDescent="0.45">
      <c r="A1281" s="29">
        <v>45835</v>
      </c>
      <c r="B1281" s="13">
        <v>7290000288659</v>
      </c>
      <c r="C1281" t="s">
        <v>22</v>
      </c>
      <c r="D1281">
        <v>4</v>
      </c>
    </row>
    <row r="1282" spans="1:4" x14ac:dyDescent="0.45">
      <c r="A1282" s="29">
        <v>45835</v>
      </c>
      <c r="B1282" s="13">
        <v>7290000292915</v>
      </c>
      <c r="C1282" t="s">
        <v>22</v>
      </c>
      <c r="D1282">
        <v>2</v>
      </c>
    </row>
    <row r="1283" spans="1:4" x14ac:dyDescent="0.45">
      <c r="A1283" s="29">
        <v>45835</v>
      </c>
      <c r="B1283" s="13">
        <v>7290000294780</v>
      </c>
      <c r="C1283" t="s">
        <v>22</v>
      </c>
      <c r="D1283">
        <v>10</v>
      </c>
    </row>
    <row r="1284" spans="1:4" x14ac:dyDescent="0.45">
      <c r="A1284" s="29">
        <v>45835</v>
      </c>
      <c r="B1284" s="13">
        <v>7290000295367</v>
      </c>
      <c r="C1284" t="s">
        <v>22</v>
      </c>
      <c r="D1284">
        <v>2</v>
      </c>
    </row>
    <row r="1285" spans="1:4" x14ac:dyDescent="0.45">
      <c r="A1285" s="29">
        <v>45835</v>
      </c>
      <c r="B1285" s="13">
        <v>7290000295541</v>
      </c>
      <c r="C1285" t="s">
        <v>22</v>
      </c>
      <c r="D1285">
        <v>4</v>
      </c>
    </row>
    <row r="1286" spans="1:4" x14ac:dyDescent="0.45">
      <c r="A1286" s="29">
        <v>45835</v>
      </c>
      <c r="B1286" s="13">
        <v>7290001246610</v>
      </c>
      <c r="C1286" t="s">
        <v>22</v>
      </c>
      <c r="D1286">
        <v>4</v>
      </c>
    </row>
    <row r="1287" spans="1:4" x14ac:dyDescent="0.45">
      <c r="A1287" s="29">
        <v>45835</v>
      </c>
      <c r="B1287" s="13">
        <v>7290005424700</v>
      </c>
      <c r="C1287" t="s">
        <v>22</v>
      </c>
      <c r="D1287">
        <v>2</v>
      </c>
    </row>
    <row r="1288" spans="1:4" x14ac:dyDescent="0.45">
      <c r="A1288" s="29">
        <v>45835</v>
      </c>
      <c r="B1288" s="13">
        <v>7290005425110</v>
      </c>
      <c r="C1288" t="s">
        <v>22</v>
      </c>
      <c r="D1288">
        <v>6</v>
      </c>
    </row>
    <row r="1289" spans="1:4" x14ac:dyDescent="0.45">
      <c r="A1289" s="29">
        <v>45835</v>
      </c>
      <c r="B1289" s="13">
        <v>7290005425196</v>
      </c>
      <c r="C1289" t="s">
        <v>22</v>
      </c>
      <c r="D1289">
        <v>4</v>
      </c>
    </row>
    <row r="1290" spans="1:4" x14ac:dyDescent="0.45">
      <c r="A1290" s="29">
        <v>45835</v>
      </c>
      <c r="B1290" s="13">
        <v>7290012116025</v>
      </c>
      <c r="C1290" t="s">
        <v>22</v>
      </c>
      <c r="D1290">
        <v>4</v>
      </c>
    </row>
    <row r="1291" spans="1:4" x14ac:dyDescent="0.45">
      <c r="A1291" s="29">
        <v>45835</v>
      </c>
      <c r="B1291" s="13">
        <v>7290012117534</v>
      </c>
      <c r="C1291" t="s">
        <v>22</v>
      </c>
      <c r="D1291">
        <v>2</v>
      </c>
    </row>
    <row r="1292" spans="1:4" x14ac:dyDescent="0.45">
      <c r="A1292" s="29">
        <v>45835</v>
      </c>
      <c r="B1292" s="13">
        <v>7290013268204</v>
      </c>
      <c r="C1292" t="s">
        <v>22</v>
      </c>
      <c r="D1292">
        <v>3</v>
      </c>
    </row>
    <row r="1293" spans="1:4" x14ac:dyDescent="0.45">
      <c r="A1293" s="29">
        <v>45835</v>
      </c>
      <c r="B1293" s="13">
        <v>7290013268891</v>
      </c>
      <c r="C1293" t="s">
        <v>22</v>
      </c>
      <c r="D1293">
        <v>2</v>
      </c>
    </row>
    <row r="1294" spans="1:4" x14ac:dyDescent="0.45">
      <c r="A1294" s="29">
        <v>45835</v>
      </c>
      <c r="B1294" s="13">
        <v>7290013269003</v>
      </c>
      <c r="C1294" t="s">
        <v>22</v>
      </c>
      <c r="D1294">
        <v>2</v>
      </c>
    </row>
    <row r="1295" spans="1:4" x14ac:dyDescent="0.45">
      <c r="A1295" s="29">
        <v>45835</v>
      </c>
      <c r="B1295" s="13">
        <v>7290014397453</v>
      </c>
      <c r="C1295" t="s">
        <v>22</v>
      </c>
      <c r="D1295">
        <v>2</v>
      </c>
    </row>
    <row r="1296" spans="1:4" x14ac:dyDescent="0.45">
      <c r="A1296" s="29">
        <v>45835</v>
      </c>
      <c r="B1296" s="13">
        <v>7290019274483</v>
      </c>
      <c r="C1296" t="s">
        <v>22</v>
      </c>
      <c r="D1296">
        <v>2</v>
      </c>
    </row>
    <row r="1297" spans="1:4" x14ac:dyDescent="0.45">
      <c r="A1297" s="29">
        <v>45835</v>
      </c>
      <c r="B1297" s="13">
        <v>7290019274490</v>
      </c>
      <c r="C1297" t="s">
        <v>22</v>
      </c>
      <c r="D1297">
        <v>4</v>
      </c>
    </row>
    <row r="1298" spans="1:4" x14ac:dyDescent="0.45">
      <c r="A1298" s="29">
        <v>45835</v>
      </c>
      <c r="B1298" s="13">
        <v>7290019611325</v>
      </c>
      <c r="C1298" t="s">
        <v>22</v>
      </c>
      <c r="D1298">
        <v>2</v>
      </c>
    </row>
    <row r="1299" spans="1:4" x14ac:dyDescent="0.45">
      <c r="A1299" s="29">
        <v>45835</v>
      </c>
      <c r="B1299" s="13">
        <v>7290103702489</v>
      </c>
      <c r="C1299" t="s">
        <v>22</v>
      </c>
      <c r="D1299">
        <v>8</v>
      </c>
    </row>
    <row r="1300" spans="1:4" x14ac:dyDescent="0.45">
      <c r="A1300" s="29">
        <v>45835</v>
      </c>
      <c r="B1300" s="13">
        <v>7290103703370</v>
      </c>
      <c r="C1300" t="s">
        <v>22</v>
      </c>
      <c r="D1300">
        <v>8</v>
      </c>
    </row>
    <row r="1301" spans="1:4" x14ac:dyDescent="0.45">
      <c r="A1301" s="29">
        <v>45835</v>
      </c>
      <c r="B1301" s="13">
        <v>7290103704155</v>
      </c>
      <c r="C1301" t="s">
        <v>22</v>
      </c>
      <c r="D1301">
        <v>10</v>
      </c>
    </row>
    <row r="1302" spans="1:4" x14ac:dyDescent="0.45">
      <c r="A1302" s="29">
        <v>45835</v>
      </c>
      <c r="B1302" s="13">
        <v>7290103704179</v>
      </c>
      <c r="C1302" t="s">
        <v>22</v>
      </c>
      <c r="D1302">
        <v>8</v>
      </c>
    </row>
    <row r="1303" spans="1:4" x14ac:dyDescent="0.45">
      <c r="A1303" s="29">
        <v>45835</v>
      </c>
      <c r="B1303" s="13">
        <v>7290103704919</v>
      </c>
      <c r="C1303" t="s">
        <v>22</v>
      </c>
      <c r="D1303">
        <v>8</v>
      </c>
    </row>
    <row r="1304" spans="1:4" x14ac:dyDescent="0.45">
      <c r="A1304" s="29">
        <v>45835</v>
      </c>
      <c r="B1304" s="13">
        <v>7290107280099</v>
      </c>
      <c r="C1304" t="s">
        <v>22</v>
      </c>
      <c r="D1304">
        <v>3</v>
      </c>
    </row>
    <row r="1305" spans="1:4" x14ac:dyDescent="0.45">
      <c r="A1305" s="29">
        <v>45835</v>
      </c>
      <c r="B1305" s="13">
        <v>7290108351699</v>
      </c>
      <c r="C1305" t="s">
        <v>22</v>
      </c>
      <c r="D1305">
        <v>2</v>
      </c>
    </row>
    <row r="1306" spans="1:4" x14ac:dyDescent="0.45">
      <c r="A1306" s="29">
        <v>45835</v>
      </c>
      <c r="B1306" s="13">
        <v>7290108352702</v>
      </c>
      <c r="C1306" t="s">
        <v>22</v>
      </c>
      <c r="D1306">
        <v>3</v>
      </c>
    </row>
    <row r="1307" spans="1:4" x14ac:dyDescent="0.45">
      <c r="A1307" s="29">
        <v>45835</v>
      </c>
      <c r="B1307" s="13">
        <v>7290108356298</v>
      </c>
      <c r="C1307" t="s">
        <v>22</v>
      </c>
      <c r="D1307">
        <v>4</v>
      </c>
    </row>
    <row r="1308" spans="1:4" x14ac:dyDescent="0.45">
      <c r="A1308" s="29">
        <v>45835</v>
      </c>
      <c r="B1308" s="13">
        <v>7290108356700</v>
      </c>
      <c r="C1308" t="s">
        <v>22</v>
      </c>
      <c r="D1308">
        <v>4</v>
      </c>
    </row>
    <row r="1309" spans="1:4" x14ac:dyDescent="0.45">
      <c r="A1309" s="29">
        <v>45835</v>
      </c>
      <c r="B1309" s="13">
        <v>7290108356717</v>
      </c>
      <c r="C1309" t="s">
        <v>22</v>
      </c>
      <c r="D1309">
        <v>2</v>
      </c>
    </row>
    <row r="1310" spans="1:4" x14ac:dyDescent="0.45">
      <c r="A1310" s="29">
        <v>45835</v>
      </c>
      <c r="B1310" s="13">
        <v>7290108356724</v>
      </c>
      <c r="C1310" t="s">
        <v>22</v>
      </c>
      <c r="D1310">
        <v>6</v>
      </c>
    </row>
    <row r="1311" spans="1:4" x14ac:dyDescent="0.45">
      <c r="A1311" s="29">
        <v>45835</v>
      </c>
      <c r="B1311" s="13">
        <v>7290108357240</v>
      </c>
      <c r="C1311" t="s">
        <v>22</v>
      </c>
      <c r="D1311">
        <v>2</v>
      </c>
    </row>
    <row r="1312" spans="1:4" x14ac:dyDescent="0.45">
      <c r="A1312" s="29">
        <v>45835</v>
      </c>
      <c r="B1312" s="13">
        <v>7290108357288</v>
      </c>
      <c r="C1312" t="s">
        <v>22</v>
      </c>
      <c r="D1312">
        <v>10</v>
      </c>
    </row>
    <row r="1313" spans="1:4" x14ac:dyDescent="0.45">
      <c r="A1313" s="29">
        <v>45835</v>
      </c>
      <c r="B1313" s="13">
        <v>7290108357844</v>
      </c>
      <c r="C1313" t="s">
        <v>22</v>
      </c>
      <c r="D1313">
        <v>2</v>
      </c>
    </row>
    <row r="1314" spans="1:4" x14ac:dyDescent="0.45">
      <c r="A1314" s="29">
        <v>45835</v>
      </c>
      <c r="B1314" s="13">
        <v>7290108359077</v>
      </c>
      <c r="C1314" t="s">
        <v>22</v>
      </c>
      <c r="D1314">
        <v>3</v>
      </c>
    </row>
    <row r="1315" spans="1:4" x14ac:dyDescent="0.45">
      <c r="A1315" s="29">
        <v>45835</v>
      </c>
      <c r="B1315" s="13">
        <v>7290108359176</v>
      </c>
      <c r="C1315" t="s">
        <v>22</v>
      </c>
      <c r="D1315">
        <v>3</v>
      </c>
    </row>
    <row r="1316" spans="1:4" x14ac:dyDescent="0.45">
      <c r="A1316" s="29">
        <v>45835</v>
      </c>
      <c r="B1316" s="13">
        <v>7290108359190</v>
      </c>
      <c r="C1316" t="s">
        <v>22</v>
      </c>
      <c r="D1316">
        <v>4</v>
      </c>
    </row>
    <row r="1317" spans="1:4" x14ac:dyDescent="0.45">
      <c r="A1317" s="29">
        <v>45835</v>
      </c>
      <c r="B1317" s="13">
        <v>8001090184375</v>
      </c>
      <c r="C1317" t="s">
        <v>22</v>
      </c>
      <c r="D1317">
        <v>4</v>
      </c>
    </row>
    <row r="1318" spans="1:4" x14ac:dyDescent="0.45">
      <c r="A1318" s="29">
        <v>45835</v>
      </c>
      <c r="B1318" s="13">
        <v>8001090184412</v>
      </c>
      <c r="C1318" t="s">
        <v>22</v>
      </c>
      <c r="D1318">
        <v>8</v>
      </c>
    </row>
    <row r="1319" spans="1:4" x14ac:dyDescent="0.45">
      <c r="A1319" s="29">
        <v>45835</v>
      </c>
      <c r="B1319" s="13">
        <v>8001841625362</v>
      </c>
      <c r="C1319" t="s">
        <v>22</v>
      </c>
      <c r="D1319">
        <v>2</v>
      </c>
    </row>
    <row r="1320" spans="1:4" x14ac:dyDescent="0.45">
      <c r="A1320" s="29">
        <v>45835</v>
      </c>
      <c r="B1320" s="13">
        <v>8001841893990</v>
      </c>
      <c r="C1320" t="s">
        <v>22</v>
      </c>
      <c r="D1320">
        <v>4</v>
      </c>
    </row>
    <row r="1321" spans="1:4" x14ac:dyDescent="0.45">
      <c r="A1321" s="29">
        <v>45835</v>
      </c>
      <c r="B1321" s="13">
        <v>8006540429327</v>
      </c>
      <c r="C1321" t="s">
        <v>22</v>
      </c>
      <c r="D1321">
        <v>10</v>
      </c>
    </row>
    <row r="1322" spans="1:4" x14ac:dyDescent="0.45">
      <c r="A1322" s="29">
        <v>45835</v>
      </c>
      <c r="B1322" s="13">
        <v>8700216163811</v>
      </c>
      <c r="C1322" t="s">
        <v>22</v>
      </c>
      <c r="D1322">
        <v>8</v>
      </c>
    </row>
    <row r="1323" spans="1:4" x14ac:dyDescent="0.45">
      <c r="A1323" s="29">
        <v>45835</v>
      </c>
      <c r="B1323" s="13">
        <v>8700216236034</v>
      </c>
      <c r="C1323" t="s">
        <v>22</v>
      </c>
      <c r="D1323">
        <v>3</v>
      </c>
    </row>
    <row r="1324" spans="1:4" x14ac:dyDescent="0.45">
      <c r="A1324" s="29">
        <v>45835</v>
      </c>
      <c r="B1324" s="13">
        <v>8700216236751</v>
      </c>
      <c r="C1324" t="s">
        <v>22</v>
      </c>
      <c r="D1324">
        <v>2</v>
      </c>
    </row>
    <row r="1325" spans="1:4" x14ac:dyDescent="0.45">
      <c r="A1325" s="29">
        <v>45836</v>
      </c>
      <c r="B1325" s="13">
        <v>4084500088917</v>
      </c>
      <c r="C1325" t="s">
        <v>22</v>
      </c>
      <c r="D1325">
        <v>10</v>
      </c>
    </row>
    <row r="1326" spans="1:4" x14ac:dyDescent="0.45">
      <c r="A1326" s="29">
        <v>45836</v>
      </c>
      <c r="B1326" s="13">
        <v>4084500853836</v>
      </c>
      <c r="C1326" t="s">
        <v>22</v>
      </c>
      <c r="D1326">
        <v>8</v>
      </c>
    </row>
    <row r="1327" spans="1:4" x14ac:dyDescent="0.45">
      <c r="A1327" s="29">
        <v>45836</v>
      </c>
      <c r="B1327" s="13">
        <v>7290000286921</v>
      </c>
      <c r="C1327" t="s">
        <v>22</v>
      </c>
      <c r="D1327">
        <v>4</v>
      </c>
    </row>
    <row r="1328" spans="1:4" x14ac:dyDescent="0.45">
      <c r="A1328" s="29">
        <v>45836</v>
      </c>
      <c r="B1328" s="13">
        <v>7290000288024</v>
      </c>
      <c r="C1328" t="s">
        <v>22</v>
      </c>
      <c r="D1328">
        <v>8</v>
      </c>
    </row>
    <row r="1329" spans="1:4" x14ac:dyDescent="0.45">
      <c r="A1329" s="29">
        <v>45836</v>
      </c>
      <c r="B1329" s="13">
        <v>7290000288307</v>
      </c>
      <c r="C1329" t="s">
        <v>22</v>
      </c>
      <c r="D1329">
        <v>3</v>
      </c>
    </row>
    <row r="1330" spans="1:4" x14ac:dyDescent="0.45">
      <c r="A1330" s="29">
        <v>45836</v>
      </c>
      <c r="B1330" s="13">
        <v>7290000288659</v>
      </c>
      <c r="C1330" t="s">
        <v>22</v>
      </c>
      <c r="D1330">
        <v>3</v>
      </c>
    </row>
    <row r="1331" spans="1:4" x14ac:dyDescent="0.45">
      <c r="A1331" s="29">
        <v>45836</v>
      </c>
      <c r="B1331" s="13">
        <v>7290000292915</v>
      </c>
      <c r="C1331" t="s">
        <v>22</v>
      </c>
      <c r="D1331">
        <v>6</v>
      </c>
    </row>
    <row r="1332" spans="1:4" x14ac:dyDescent="0.45">
      <c r="A1332" s="29">
        <v>45836</v>
      </c>
      <c r="B1332" s="13">
        <v>7290000294780</v>
      </c>
      <c r="C1332" t="s">
        <v>22</v>
      </c>
      <c r="D1332">
        <v>10</v>
      </c>
    </row>
    <row r="1333" spans="1:4" x14ac:dyDescent="0.45">
      <c r="A1333" s="29">
        <v>45836</v>
      </c>
      <c r="B1333" s="13">
        <v>7290000295367</v>
      </c>
      <c r="C1333" t="s">
        <v>22</v>
      </c>
      <c r="D1333">
        <v>6</v>
      </c>
    </row>
    <row r="1334" spans="1:4" x14ac:dyDescent="0.45">
      <c r="A1334" s="29">
        <v>45836</v>
      </c>
      <c r="B1334" s="13">
        <v>7290000295541</v>
      </c>
      <c r="C1334" t="s">
        <v>22</v>
      </c>
      <c r="D1334">
        <v>2</v>
      </c>
    </row>
    <row r="1335" spans="1:4" x14ac:dyDescent="0.45">
      <c r="A1335" s="29">
        <v>45836</v>
      </c>
      <c r="B1335" s="13">
        <v>7290001246610</v>
      </c>
      <c r="C1335" t="s">
        <v>22</v>
      </c>
      <c r="D1335">
        <v>6</v>
      </c>
    </row>
    <row r="1336" spans="1:4" x14ac:dyDescent="0.45">
      <c r="A1336" s="29">
        <v>45836</v>
      </c>
      <c r="B1336" s="13">
        <v>7290005424700</v>
      </c>
      <c r="C1336" t="s">
        <v>22</v>
      </c>
      <c r="D1336">
        <v>2</v>
      </c>
    </row>
    <row r="1337" spans="1:4" x14ac:dyDescent="0.45">
      <c r="A1337" s="29">
        <v>45836</v>
      </c>
      <c r="B1337" s="13">
        <v>7290005425110</v>
      </c>
      <c r="C1337" t="s">
        <v>22</v>
      </c>
      <c r="D1337">
        <v>6</v>
      </c>
    </row>
    <row r="1338" spans="1:4" x14ac:dyDescent="0.45">
      <c r="A1338" s="29">
        <v>45836</v>
      </c>
      <c r="B1338" s="13">
        <v>7290005425196</v>
      </c>
      <c r="C1338" t="s">
        <v>22</v>
      </c>
      <c r="D1338">
        <v>6</v>
      </c>
    </row>
    <row r="1339" spans="1:4" x14ac:dyDescent="0.45">
      <c r="A1339" s="29">
        <v>45836</v>
      </c>
      <c r="B1339" s="13">
        <v>7290012116025</v>
      </c>
      <c r="C1339" t="s">
        <v>22</v>
      </c>
      <c r="D1339">
        <v>4</v>
      </c>
    </row>
    <row r="1340" spans="1:4" x14ac:dyDescent="0.45">
      <c r="A1340" s="29">
        <v>45836</v>
      </c>
      <c r="B1340" s="13">
        <v>7290012117534</v>
      </c>
      <c r="C1340" t="s">
        <v>22</v>
      </c>
      <c r="D1340">
        <v>6</v>
      </c>
    </row>
    <row r="1341" spans="1:4" x14ac:dyDescent="0.45">
      <c r="A1341" s="29">
        <v>45836</v>
      </c>
      <c r="B1341" s="13">
        <v>7290013268204</v>
      </c>
      <c r="C1341" t="s">
        <v>22</v>
      </c>
      <c r="D1341">
        <v>3</v>
      </c>
    </row>
    <row r="1342" spans="1:4" x14ac:dyDescent="0.45">
      <c r="A1342" s="29">
        <v>45836</v>
      </c>
      <c r="B1342" s="13">
        <v>7290013268891</v>
      </c>
      <c r="C1342" t="s">
        <v>22</v>
      </c>
      <c r="D1342">
        <v>4</v>
      </c>
    </row>
    <row r="1343" spans="1:4" x14ac:dyDescent="0.45">
      <c r="A1343" s="29">
        <v>45836</v>
      </c>
      <c r="B1343" s="13">
        <v>7290013269003</v>
      </c>
      <c r="C1343" t="s">
        <v>22</v>
      </c>
      <c r="D1343">
        <v>6</v>
      </c>
    </row>
    <row r="1344" spans="1:4" x14ac:dyDescent="0.45">
      <c r="A1344" s="29">
        <v>45836</v>
      </c>
      <c r="B1344" s="13">
        <v>7290014397453</v>
      </c>
      <c r="C1344" t="s">
        <v>22</v>
      </c>
      <c r="D1344">
        <v>4</v>
      </c>
    </row>
    <row r="1345" spans="1:4" x14ac:dyDescent="0.45">
      <c r="A1345" s="29">
        <v>45836</v>
      </c>
      <c r="B1345" s="13">
        <v>7290019274483</v>
      </c>
      <c r="C1345" t="s">
        <v>22</v>
      </c>
      <c r="D1345">
        <v>6</v>
      </c>
    </row>
    <row r="1346" spans="1:4" x14ac:dyDescent="0.45">
      <c r="A1346" s="29">
        <v>45836</v>
      </c>
      <c r="B1346" s="13">
        <v>7290019274490</v>
      </c>
      <c r="C1346" t="s">
        <v>22</v>
      </c>
      <c r="D1346">
        <v>6</v>
      </c>
    </row>
    <row r="1347" spans="1:4" x14ac:dyDescent="0.45">
      <c r="A1347" s="29">
        <v>45836</v>
      </c>
      <c r="B1347" s="13">
        <v>7290019611325</v>
      </c>
      <c r="C1347" t="s">
        <v>22</v>
      </c>
      <c r="D1347">
        <v>4</v>
      </c>
    </row>
    <row r="1348" spans="1:4" x14ac:dyDescent="0.45">
      <c r="A1348" s="29">
        <v>45836</v>
      </c>
      <c r="B1348" s="13">
        <v>7290103702489</v>
      </c>
      <c r="C1348" t="s">
        <v>22</v>
      </c>
      <c r="D1348">
        <v>8</v>
      </c>
    </row>
    <row r="1349" spans="1:4" x14ac:dyDescent="0.45">
      <c r="A1349" s="29">
        <v>45836</v>
      </c>
      <c r="B1349" s="13">
        <v>7290103703370</v>
      </c>
      <c r="C1349" t="s">
        <v>22</v>
      </c>
      <c r="D1349">
        <v>8</v>
      </c>
    </row>
    <row r="1350" spans="1:4" x14ac:dyDescent="0.45">
      <c r="A1350" s="29">
        <v>45836</v>
      </c>
      <c r="B1350" s="13">
        <v>7290103704155</v>
      </c>
      <c r="C1350" t="s">
        <v>22</v>
      </c>
      <c r="D1350">
        <v>10</v>
      </c>
    </row>
    <row r="1351" spans="1:4" x14ac:dyDescent="0.45">
      <c r="A1351" s="29">
        <v>45836</v>
      </c>
      <c r="B1351" s="13">
        <v>7290103704179</v>
      </c>
      <c r="C1351" t="s">
        <v>22</v>
      </c>
      <c r="D1351">
        <v>8</v>
      </c>
    </row>
    <row r="1352" spans="1:4" x14ac:dyDescent="0.45">
      <c r="A1352" s="29">
        <v>45836</v>
      </c>
      <c r="B1352" s="13">
        <v>7290103704919</v>
      </c>
      <c r="C1352" t="s">
        <v>22</v>
      </c>
      <c r="D1352">
        <v>8</v>
      </c>
    </row>
    <row r="1353" spans="1:4" x14ac:dyDescent="0.45">
      <c r="A1353" s="29">
        <v>45836</v>
      </c>
      <c r="B1353" s="13">
        <v>7290107280099</v>
      </c>
      <c r="C1353" t="s">
        <v>22</v>
      </c>
      <c r="D1353">
        <v>3</v>
      </c>
    </row>
    <row r="1354" spans="1:4" x14ac:dyDescent="0.45">
      <c r="A1354" s="29">
        <v>45836</v>
      </c>
      <c r="B1354" s="13">
        <v>7290108351699</v>
      </c>
      <c r="C1354" t="s">
        <v>22</v>
      </c>
      <c r="D1354">
        <v>6</v>
      </c>
    </row>
    <row r="1355" spans="1:4" x14ac:dyDescent="0.45">
      <c r="A1355" s="29">
        <v>45836</v>
      </c>
      <c r="B1355" s="13">
        <v>7290108352702</v>
      </c>
      <c r="C1355" t="s">
        <v>22</v>
      </c>
      <c r="D1355">
        <v>3</v>
      </c>
    </row>
    <row r="1356" spans="1:4" x14ac:dyDescent="0.45">
      <c r="A1356" s="29">
        <v>45836</v>
      </c>
      <c r="B1356" s="13">
        <v>7290108356298</v>
      </c>
      <c r="C1356" t="s">
        <v>22</v>
      </c>
      <c r="D1356">
        <v>4</v>
      </c>
    </row>
    <row r="1357" spans="1:4" x14ac:dyDescent="0.45">
      <c r="A1357" s="29">
        <v>45836</v>
      </c>
      <c r="B1357" s="13">
        <v>7290108356700</v>
      </c>
      <c r="C1357" t="s">
        <v>22</v>
      </c>
      <c r="D1357">
        <v>2</v>
      </c>
    </row>
    <row r="1358" spans="1:4" x14ac:dyDescent="0.45">
      <c r="A1358" s="29">
        <v>45836</v>
      </c>
      <c r="B1358" s="13">
        <v>7290108356717</v>
      </c>
      <c r="C1358" t="s">
        <v>22</v>
      </c>
      <c r="D1358">
        <v>2</v>
      </c>
    </row>
    <row r="1359" spans="1:4" x14ac:dyDescent="0.45">
      <c r="A1359" s="29">
        <v>45836</v>
      </c>
      <c r="B1359" s="13">
        <v>7290108356724</v>
      </c>
      <c r="C1359" t="s">
        <v>22</v>
      </c>
      <c r="D1359">
        <v>4</v>
      </c>
    </row>
    <row r="1360" spans="1:4" x14ac:dyDescent="0.45">
      <c r="A1360" s="29">
        <v>45836</v>
      </c>
      <c r="B1360" s="13">
        <v>7290108357240</v>
      </c>
      <c r="C1360" t="s">
        <v>22</v>
      </c>
      <c r="D1360">
        <v>4</v>
      </c>
    </row>
    <row r="1361" spans="1:4" x14ac:dyDescent="0.45">
      <c r="A1361" s="29">
        <v>45836</v>
      </c>
      <c r="B1361" s="13">
        <v>7290108357288</v>
      </c>
      <c r="C1361" t="s">
        <v>22</v>
      </c>
      <c r="D1361">
        <v>8</v>
      </c>
    </row>
    <row r="1362" spans="1:4" x14ac:dyDescent="0.45">
      <c r="A1362" s="29">
        <v>45836</v>
      </c>
      <c r="B1362" s="13">
        <v>7290108357844</v>
      </c>
      <c r="C1362" t="s">
        <v>22</v>
      </c>
      <c r="D1362">
        <v>6</v>
      </c>
    </row>
    <row r="1363" spans="1:4" x14ac:dyDescent="0.45">
      <c r="A1363" s="29">
        <v>45836</v>
      </c>
      <c r="B1363" s="13">
        <v>7290108359077</v>
      </c>
      <c r="C1363" t="s">
        <v>22</v>
      </c>
      <c r="D1363">
        <v>3</v>
      </c>
    </row>
    <row r="1364" spans="1:4" x14ac:dyDescent="0.45">
      <c r="A1364" s="29">
        <v>45836</v>
      </c>
      <c r="B1364" s="13">
        <v>7290108359176</v>
      </c>
      <c r="C1364" t="s">
        <v>22</v>
      </c>
      <c r="D1364">
        <v>3</v>
      </c>
    </row>
    <row r="1365" spans="1:4" x14ac:dyDescent="0.45">
      <c r="A1365" s="29">
        <v>45836</v>
      </c>
      <c r="B1365" s="13">
        <v>7290108359190</v>
      </c>
      <c r="C1365" t="s">
        <v>22</v>
      </c>
      <c r="D1365">
        <v>2</v>
      </c>
    </row>
    <row r="1366" spans="1:4" x14ac:dyDescent="0.45">
      <c r="A1366" s="29">
        <v>45836</v>
      </c>
      <c r="B1366" s="13">
        <v>8001090184375</v>
      </c>
      <c r="C1366" t="s">
        <v>22</v>
      </c>
      <c r="D1366">
        <v>2</v>
      </c>
    </row>
    <row r="1367" spans="1:4" x14ac:dyDescent="0.45">
      <c r="A1367" s="29">
        <v>45836</v>
      </c>
      <c r="B1367" s="13">
        <v>8001090184412</v>
      </c>
      <c r="C1367" t="s">
        <v>22</v>
      </c>
      <c r="D1367">
        <v>10</v>
      </c>
    </row>
    <row r="1368" spans="1:4" x14ac:dyDescent="0.45">
      <c r="A1368" s="29">
        <v>45836</v>
      </c>
      <c r="B1368" s="13">
        <v>8001841625362</v>
      </c>
      <c r="C1368" t="s">
        <v>22</v>
      </c>
      <c r="D1368">
        <v>4</v>
      </c>
    </row>
    <row r="1369" spans="1:4" x14ac:dyDescent="0.45">
      <c r="A1369" s="29">
        <v>45836</v>
      </c>
      <c r="B1369" s="13">
        <v>8001841893990</v>
      </c>
      <c r="C1369" t="s">
        <v>22</v>
      </c>
      <c r="D1369">
        <v>2</v>
      </c>
    </row>
    <row r="1370" spans="1:4" x14ac:dyDescent="0.45">
      <c r="A1370" s="29">
        <v>45836</v>
      </c>
      <c r="B1370" s="13">
        <v>8006540429327</v>
      </c>
      <c r="C1370" t="s">
        <v>22</v>
      </c>
      <c r="D1370">
        <v>10</v>
      </c>
    </row>
    <row r="1371" spans="1:4" x14ac:dyDescent="0.45">
      <c r="A1371" s="29">
        <v>45836</v>
      </c>
      <c r="B1371" s="13">
        <v>8700216163811</v>
      </c>
      <c r="C1371" t="s">
        <v>22</v>
      </c>
      <c r="D1371">
        <v>8</v>
      </c>
    </row>
    <row r="1372" spans="1:4" x14ac:dyDescent="0.45">
      <c r="A1372" s="29">
        <v>45836</v>
      </c>
      <c r="B1372" s="13">
        <v>8700216236034</v>
      </c>
      <c r="C1372" t="s">
        <v>22</v>
      </c>
      <c r="D1372">
        <v>4</v>
      </c>
    </row>
    <row r="1373" spans="1:4" x14ac:dyDescent="0.45">
      <c r="A1373" s="29">
        <v>45836</v>
      </c>
      <c r="B1373" s="13">
        <v>8700216236751</v>
      </c>
      <c r="C1373" t="s">
        <v>22</v>
      </c>
      <c r="D1373">
        <v>6</v>
      </c>
    </row>
    <row r="1374" spans="1:4" x14ac:dyDescent="0.45">
      <c r="A1374" s="29">
        <v>45837</v>
      </c>
      <c r="B1374" s="13">
        <v>4084500088917</v>
      </c>
      <c r="C1374" t="s">
        <v>22</v>
      </c>
      <c r="D1374">
        <v>5</v>
      </c>
    </row>
    <row r="1375" spans="1:4" x14ac:dyDescent="0.45">
      <c r="A1375" s="29">
        <v>45837</v>
      </c>
      <c r="B1375" s="13">
        <v>4084500853836</v>
      </c>
      <c r="C1375" t="s">
        <v>22</v>
      </c>
      <c r="D1375">
        <v>4</v>
      </c>
    </row>
    <row r="1376" spans="1:4" x14ac:dyDescent="0.45">
      <c r="A1376" s="29">
        <v>45837</v>
      </c>
      <c r="B1376" s="13">
        <v>7290000286921</v>
      </c>
      <c r="C1376" t="s">
        <v>22</v>
      </c>
      <c r="D1376">
        <v>2</v>
      </c>
    </row>
    <row r="1377" spans="1:4" x14ac:dyDescent="0.45">
      <c r="A1377" s="29">
        <v>45837</v>
      </c>
      <c r="B1377" s="13">
        <v>7290000288024</v>
      </c>
      <c r="C1377" t="s">
        <v>22</v>
      </c>
      <c r="D1377">
        <v>5</v>
      </c>
    </row>
    <row r="1378" spans="1:4" x14ac:dyDescent="0.45">
      <c r="A1378" s="29">
        <v>45837</v>
      </c>
      <c r="B1378" s="13">
        <v>7290000288307</v>
      </c>
      <c r="C1378" t="s">
        <v>22</v>
      </c>
      <c r="D1378">
        <v>0</v>
      </c>
    </row>
    <row r="1379" spans="1:4" x14ac:dyDescent="0.45">
      <c r="A1379" s="29">
        <v>45837</v>
      </c>
      <c r="B1379" s="13">
        <v>7290000288659</v>
      </c>
      <c r="C1379" t="s">
        <v>22</v>
      </c>
      <c r="D1379">
        <v>0</v>
      </c>
    </row>
    <row r="1380" spans="1:4" x14ac:dyDescent="0.45">
      <c r="A1380" s="29">
        <v>45837</v>
      </c>
      <c r="B1380" s="13">
        <v>7290000292915</v>
      </c>
      <c r="C1380" t="s">
        <v>22</v>
      </c>
      <c r="D1380">
        <v>3</v>
      </c>
    </row>
    <row r="1381" spans="1:4" x14ac:dyDescent="0.45">
      <c r="A1381" s="29">
        <v>45837</v>
      </c>
      <c r="B1381" s="13">
        <v>7290000294780</v>
      </c>
      <c r="C1381" t="s">
        <v>22</v>
      </c>
      <c r="D1381">
        <v>4</v>
      </c>
    </row>
    <row r="1382" spans="1:4" x14ac:dyDescent="0.45">
      <c r="A1382" s="29">
        <v>45837</v>
      </c>
      <c r="B1382" s="13">
        <v>7290000295367</v>
      </c>
      <c r="C1382" t="s">
        <v>22</v>
      </c>
      <c r="D1382">
        <v>1</v>
      </c>
    </row>
    <row r="1383" spans="1:4" x14ac:dyDescent="0.45">
      <c r="A1383" s="29">
        <v>45837</v>
      </c>
      <c r="B1383" s="13">
        <v>7290000295541</v>
      </c>
      <c r="C1383" t="s">
        <v>22</v>
      </c>
      <c r="D1383">
        <v>0</v>
      </c>
    </row>
    <row r="1384" spans="1:4" x14ac:dyDescent="0.45">
      <c r="A1384" s="29">
        <v>45837</v>
      </c>
      <c r="B1384" s="13">
        <v>7290001246610</v>
      </c>
      <c r="C1384" t="s">
        <v>22</v>
      </c>
      <c r="D1384">
        <v>2</v>
      </c>
    </row>
    <row r="1385" spans="1:4" x14ac:dyDescent="0.45">
      <c r="A1385" s="29">
        <v>45837</v>
      </c>
      <c r="B1385" s="13">
        <v>7290005424700</v>
      </c>
      <c r="C1385" t="s">
        <v>22</v>
      </c>
      <c r="D1385">
        <v>3</v>
      </c>
    </row>
    <row r="1386" spans="1:4" x14ac:dyDescent="0.45">
      <c r="A1386" s="29">
        <v>45837</v>
      </c>
      <c r="B1386" s="13">
        <v>7290005425110</v>
      </c>
      <c r="C1386" t="s">
        <v>22</v>
      </c>
      <c r="D1386">
        <v>3</v>
      </c>
    </row>
    <row r="1387" spans="1:4" x14ac:dyDescent="0.45">
      <c r="A1387" s="29">
        <v>45837</v>
      </c>
      <c r="B1387" s="13">
        <v>7290005425196</v>
      </c>
      <c r="C1387" t="s">
        <v>22</v>
      </c>
      <c r="D1387">
        <v>2</v>
      </c>
    </row>
    <row r="1388" spans="1:4" x14ac:dyDescent="0.45">
      <c r="A1388" s="29">
        <v>45837</v>
      </c>
      <c r="B1388" s="13">
        <v>7290012116025</v>
      </c>
      <c r="C1388" t="s">
        <v>22</v>
      </c>
      <c r="D1388">
        <v>3</v>
      </c>
    </row>
    <row r="1389" spans="1:4" x14ac:dyDescent="0.45">
      <c r="A1389" s="29">
        <v>45837</v>
      </c>
      <c r="B1389" s="13">
        <v>7290012117534</v>
      </c>
      <c r="C1389" t="s">
        <v>22</v>
      </c>
      <c r="D1389">
        <v>1</v>
      </c>
    </row>
    <row r="1390" spans="1:4" x14ac:dyDescent="0.45">
      <c r="A1390" s="29">
        <v>45837</v>
      </c>
      <c r="B1390" s="13">
        <v>7290013268204</v>
      </c>
      <c r="C1390" t="s">
        <v>22</v>
      </c>
      <c r="D1390">
        <v>0</v>
      </c>
    </row>
    <row r="1391" spans="1:4" x14ac:dyDescent="0.45">
      <c r="A1391" s="29">
        <v>45837</v>
      </c>
      <c r="B1391" s="13">
        <v>7290013268891</v>
      </c>
      <c r="C1391" t="s">
        <v>22</v>
      </c>
      <c r="D1391">
        <v>2</v>
      </c>
    </row>
    <row r="1392" spans="1:4" x14ac:dyDescent="0.45">
      <c r="A1392" s="29">
        <v>45837</v>
      </c>
      <c r="B1392" s="13">
        <v>7290013269003</v>
      </c>
      <c r="C1392" t="s">
        <v>22</v>
      </c>
      <c r="D1392">
        <v>1</v>
      </c>
    </row>
    <row r="1393" spans="1:4" x14ac:dyDescent="0.45">
      <c r="A1393" s="29">
        <v>45837</v>
      </c>
      <c r="B1393" s="13">
        <v>7290014397453</v>
      </c>
      <c r="C1393" t="s">
        <v>22</v>
      </c>
      <c r="D1393">
        <v>2</v>
      </c>
    </row>
    <row r="1394" spans="1:4" x14ac:dyDescent="0.45">
      <c r="A1394" s="29">
        <v>45837</v>
      </c>
      <c r="B1394" s="13">
        <v>7290019274483</v>
      </c>
      <c r="C1394" t="s">
        <v>22</v>
      </c>
      <c r="D1394">
        <v>1</v>
      </c>
    </row>
    <row r="1395" spans="1:4" x14ac:dyDescent="0.45">
      <c r="A1395" s="29">
        <v>45837</v>
      </c>
      <c r="B1395" s="13">
        <v>7290019274490</v>
      </c>
      <c r="C1395" t="s">
        <v>22</v>
      </c>
      <c r="D1395">
        <v>1</v>
      </c>
    </row>
    <row r="1396" spans="1:4" x14ac:dyDescent="0.45">
      <c r="A1396" s="29">
        <v>45837</v>
      </c>
      <c r="B1396" s="13">
        <v>7290019611325</v>
      </c>
      <c r="C1396" t="s">
        <v>22</v>
      </c>
      <c r="D1396">
        <v>1</v>
      </c>
    </row>
    <row r="1397" spans="1:4" x14ac:dyDescent="0.45">
      <c r="A1397" s="29">
        <v>45837</v>
      </c>
      <c r="B1397" s="13">
        <v>7290103702489</v>
      </c>
      <c r="C1397" t="s">
        <v>22</v>
      </c>
      <c r="D1397">
        <v>5</v>
      </c>
    </row>
    <row r="1398" spans="1:4" x14ac:dyDescent="0.45">
      <c r="A1398" s="29">
        <v>45837</v>
      </c>
      <c r="B1398" s="13">
        <v>7290103703370</v>
      </c>
      <c r="C1398" t="s">
        <v>22</v>
      </c>
      <c r="D1398">
        <v>4</v>
      </c>
    </row>
    <row r="1399" spans="1:4" x14ac:dyDescent="0.45">
      <c r="A1399" s="29">
        <v>45837</v>
      </c>
      <c r="B1399" s="13">
        <v>7290103704155</v>
      </c>
      <c r="C1399" t="s">
        <v>22</v>
      </c>
      <c r="D1399">
        <v>4</v>
      </c>
    </row>
    <row r="1400" spans="1:4" x14ac:dyDescent="0.45">
      <c r="A1400" s="29">
        <v>45837</v>
      </c>
      <c r="B1400" s="13">
        <v>7290103704179</v>
      </c>
      <c r="C1400" t="s">
        <v>22</v>
      </c>
      <c r="D1400">
        <v>5</v>
      </c>
    </row>
    <row r="1401" spans="1:4" x14ac:dyDescent="0.45">
      <c r="A1401" s="29">
        <v>45837</v>
      </c>
      <c r="B1401" s="13">
        <v>7290103704919</v>
      </c>
      <c r="C1401" t="s">
        <v>22</v>
      </c>
      <c r="D1401">
        <v>4</v>
      </c>
    </row>
    <row r="1402" spans="1:4" x14ac:dyDescent="0.45">
      <c r="A1402" s="29">
        <v>45837</v>
      </c>
      <c r="B1402" s="13">
        <v>7290107280099</v>
      </c>
      <c r="C1402" t="s">
        <v>22</v>
      </c>
      <c r="D1402">
        <v>1</v>
      </c>
    </row>
    <row r="1403" spans="1:4" x14ac:dyDescent="0.45">
      <c r="A1403" s="29">
        <v>45837</v>
      </c>
      <c r="B1403" s="13">
        <v>7290108351699</v>
      </c>
      <c r="C1403" t="s">
        <v>22</v>
      </c>
      <c r="D1403">
        <v>1</v>
      </c>
    </row>
    <row r="1404" spans="1:4" x14ac:dyDescent="0.45">
      <c r="A1404" s="29">
        <v>45837</v>
      </c>
      <c r="B1404" s="13">
        <v>7290108352702</v>
      </c>
      <c r="C1404" t="s">
        <v>22</v>
      </c>
      <c r="D1404">
        <v>0</v>
      </c>
    </row>
    <row r="1405" spans="1:4" x14ac:dyDescent="0.45">
      <c r="A1405" s="29">
        <v>45837</v>
      </c>
      <c r="B1405" s="13">
        <v>7290108356298</v>
      </c>
      <c r="C1405" t="s">
        <v>22</v>
      </c>
      <c r="D1405">
        <v>2</v>
      </c>
    </row>
    <row r="1406" spans="1:4" x14ac:dyDescent="0.45">
      <c r="A1406" s="29">
        <v>45837</v>
      </c>
      <c r="B1406" s="13">
        <v>7290108356700</v>
      </c>
      <c r="C1406" t="s">
        <v>22</v>
      </c>
      <c r="D1406">
        <v>0</v>
      </c>
    </row>
    <row r="1407" spans="1:4" x14ac:dyDescent="0.45">
      <c r="A1407" s="29">
        <v>45837</v>
      </c>
      <c r="B1407" s="13">
        <v>7290108356717</v>
      </c>
      <c r="C1407" t="s">
        <v>22</v>
      </c>
      <c r="D1407">
        <v>3</v>
      </c>
    </row>
    <row r="1408" spans="1:4" x14ac:dyDescent="0.45">
      <c r="A1408" s="29">
        <v>45837</v>
      </c>
      <c r="B1408" s="13">
        <v>7290108356724</v>
      </c>
      <c r="C1408" t="s">
        <v>22</v>
      </c>
      <c r="D1408">
        <v>1</v>
      </c>
    </row>
    <row r="1409" spans="1:4" x14ac:dyDescent="0.45">
      <c r="A1409" s="29">
        <v>45837</v>
      </c>
      <c r="B1409" s="13">
        <v>7290108357240</v>
      </c>
      <c r="C1409" t="s">
        <v>22</v>
      </c>
      <c r="D1409">
        <v>2</v>
      </c>
    </row>
    <row r="1410" spans="1:4" x14ac:dyDescent="0.45">
      <c r="A1410" s="29">
        <v>45837</v>
      </c>
      <c r="B1410" s="13">
        <v>7290108357288</v>
      </c>
      <c r="C1410" t="s">
        <v>22</v>
      </c>
      <c r="D1410">
        <v>5</v>
      </c>
    </row>
    <row r="1411" spans="1:4" x14ac:dyDescent="0.45">
      <c r="A1411" s="29">
        <v>45837</v>
      </c>
      <c r="B1411" s="13">
        <v>7290108357844</v>
      </c>
      <c r="C1411" t="s">
        <v>22</v>
      </c>
      <c r="D1411">
        <v>3</v>
      </c>
    </row>
    <row r="1412" spans="1:4" x14ac:dyDescent="0.45">
      <c r="A1412" s="29">
        <v>45837</v>
      </c>
      <c r="B1412" s="13">
        <v>7290108359077</v>
      </c>
      <c r="C1412" t="s">
        <v>22</v>
      </c>
      <c r="D1412">
        <v>0</v>
      </c>
    </row>
    <row r="1413" spans="1:4" x14ac:dyDescent="0.45">
      <c r="A1413" s="29">
        <v>45837</v>
      </c>
      <c r="B1413" s="13">
        <v>7290108359176</v>
      </c>
      <c r="C1413" t="s">
        <v>22</v>
      </c>
      <c r="D1413">
        <v>1</v>
      </c>
    </row>
    <row r="1414" spans="1:4" x14ac:dyDescent="0.45">
      <c r="A1414" s="29">
        <v>45837</v>
      </c>
      <c r="B1414" s="13">
        <v>7290108359190</v>
      </c>
      <c r="C1414" t="s">
        <v>22</v>
      </c>
      <c r="D1414">
        <v>0</v>
      </c>
    </row>
    <row r="1415" spans="1:4" x14ac:dyDescent="0.45">
      <c r="A1415" s="29">
        <v>45837</v>
      </c>
      <c r="B1415" s="13">
        <v>8001090184375</v>
      </c>
      <c r="C1415" t="s">
        <v>22</v>
      </c>
      <c r="D1415">
        <v>0</v>
      </c>
    </row>
    <row r="1416" spans="1:4" x14ac:dyDescent="0.45">
      <c r="A1416" s="29">
        <v>45837</v>
      </c>
      <c r="B1416" s="13">
        <v>8001090184412</v>
      </c>
      <c r="C1416" t="s">
        <v>22</v>
      </c>
      <c r="D1416">
        <v>4</v>
      </c>
    </row>
    <row r="1417" spans="1:4" x14ac:dyDescent="0.45">
      <c r="A1417" s="29">
        <v>45837</v>
      </c>
      <c r="B1417" s="13">
        <v>8001841625362</v>
      </c>
      <c r="C1417" t="s">
        <v>22</v>
      </c>
      <c r="D1417">
        <v>1</v>
      </c>
    </row>
    <row r="1418" spans="1:4" x14ac:dyDescent="0.45">
      <c r="A1418" s="29">
        <v>45837</v>
      </c>
      <c r="B1418" s="13">
        <v>8001841893990</v>
      </c>
      <c r="C1418" t="s">
        <v>22</v>
      </c>
      <c r="D1418">
        <v>1</v>
      </c>
    </row>
    <row r="1419" spans="1:4" x14ac:dyDescent="0.45">
      <c r="A1419" s="29">
        <v>45837</v>
      </c>
      <c r="B1419" s="13">
        <v>8006540429327</v>
      </c>
      <c r="C1419" t="s">
        <v>22</v>
      </c>
      <c r="D1419">
        <v>4</v>
      </c>
    </row>
    <row r="1420" spans="1:4" x14ac:dyDescent="0.45">
      <c r="A1420" s="29">
        <v>45837</v>
      </c>
      <c r="B1420" s="13">
        <v>8700216163811</v>
      </c>
      <c r="C1420" t="s">
        <v>22</v>
      </c>
      <c r="D1420">
        <v>4</v>
      </c>
    </row>
    <row r="1421" spans="1:4" x14ac:dyDescent="0.45">
      <c r="A1421" s="29">
        <v>45837</v>
      </c>
      <c r="B1421" s="13">
        <v>8700216236034</v>
      </c>
      <c r="C1421" t="s">
        <v>22</v>
      </c>
      <c r="D1421">
        <v>1</v>
      </c>
    </row>
    <row r="1422" spans="1:4" x14ac:dyDescent="0.45">
      <c r="A1422" s="29">
        <v>45837</v>
      </c>
      <c r="B1422" s="13">
        <v>8700216236751</v>
      </c>
      <c r="C1422" t="s">
        <v>22</v>
      </c>
      <c r="D1422">
        <v>1</v>
      </c>
    </row>
    <row r="1423" spans="1:4" x14ac:dyDescent="0.45">
      <c r="A1423" s="29">
        <v>45838</v>
      </c>
      <c r="B1423" s="13">
        <v>4084500088917</v>
      </c>
      <c r="C1423" t="s">
        <v>22</v>
      </c>
      <c r="D1423">
        <v>4</v>
      </c>
    </row>
    <row r="1424" spans="1:4" x14ac:dyDescent="0.45">
      <c r="A1424" s="29">
        <v>45838</v>
      </c>
      <c r="B1424" s="13">
        <v>4084500853836</v>
      </c>
      <c r="C1424" t="s">
        <v>22</v>
      </c>
      <c r="D1424">
        <v>4</v>
      </c>
    </row>
    <row r="1425" spans="1:4" x14ac:dyDescent="0.45">
      <c r="A1425" s="29">
        <v>45838</v>
      </c>
      <c r="B1425" s="13">
        <v>7290000286921</v>
      </c>
      <c r="C1425" t="s">
        <v>22</v>
      </c>
      <c r="D1425">
        <v>0</v>
      </c>
    </row>
    <row r="1426" spans="1:4" x14ac:dyDescent="0.45">
      <c r="A1426" s="29">
        <v>45838</v>
      </c>
      <c r="B1426" s="13">
        <v>7290000288024</v>
      </c>
      <c r="C1426" t="s">
        <v>22</v>
      </c>
      <c r="D1426">
        <v>5</v>
      </c>
    </row>
    <row r="1427" spans="1:4" x14ac:dyDescent="0.45">
      <c r="A1427" s="29">
        <v>45838</v>
      </c>
      <c r="B1427" s="13">
        <v>7290000288307</v>
      </c>
      <c r="C1427" t="s">
        <v>22</v>
      </c>
      <c r="D1427">
        <v>0</v>
      </c>
    </row>
    <row r="1428" spans="1:4" x14ac:dyDescent="0.45">
      <c r="A1428" s="29">
        <v>45838</v>
      </c>
      <c r="B1428" s="13">
        <v>7290000288659</v>
      </c>
      <c r="C1428" t="s">
        <v>22</v>
      </c>
      <c r="D1428">
        <v>1</v>
      </c>
    </row>
    <row r="1429" spans="1:4" x14ac:dyDescent="0.45">
      <c r="A1429" s="29">
        <v>45838</v>
      </c>
      <c r="B1429" s="13">
        <v>7290000292915</v>
      </c>
      <c r="C1429" t="s">
        <v>22</v>
      </c>
      <c r="D1429">
        <v>3</v>
      </c>
    </row>
    <row r="1430" spans="1:4" x14ac:dyDescent="0.45">
      <c r="A1430" s="29">
        <v>45838</v>
      </c>
      <c r="B1430" s="13">
        <v>7290000294780</v>
      </c>
      <c r="C1430" t="s">
        <v>22</v>
      </c>
      <c r="D1430">
        <v>5</v>
      </c>
    </row>
    <row r="1431" spans="1:4" x14ac:dyDescent="0.45">
      <c r="A1431" s="29">
        <v>45838</v>
      </c>
      <c r="B1431" s="13">
        <v>7290000295367</v>
      </c>
      <c r="C1431" t="s">
        <v>22</v>
      </c>
      <c r="D1431">
        <v>1</v>
      </c>
    </row>
    <row r="1432" spans="1:4" x14ac:dyDescent="0.45">
      <c r="A1432" s="29">
        <v>45838</v>
      </c>
      <c r="B1432" s="13">
        <v>7290000295541</v>
      </c>
      <c r="C1432" t="s">
        <v>22</v>
      </c>
      <c r="D1432">
        <v>1</v>
      </c>
    </row>
    <row r="1433" spans="1:4" x14ac:dyDescent="0.45">
      <c r="A1433" s="29">
        <v>45838</v>
      </c>
      <c r="B1433" s="13">
        <v>7290001246610</v>
      </c>
      <c r="C1433" t="s">
        <v>22</v>
      </c>
      <c r="D1433">
        <v>2</v>
      </c>
    </row>
    <row r="1434" spans="1:4" x14ac:dyDescent="0.45">
      <c r="A1434" s="29">
        <v>45838</v>
      </c>
      <c r="B1434" s="13">
        <v>7290005424700</v>
      </c>
      <c r="C1434" t="s">
        <v>22</v>
      </c>
      <c r="D1434">
        <v>2</v>
      </c>
    </row>
    <row r="1435" spans="1:4" x14ac:dyDescent="0.45">
      <c r="A1435" s="29">
        <v>45838</v>
      </c>
      <c r="B1435" s="13">
        <v>7290005425110</v>
      </c>
      <c r="C1435" t="s">
        <v>22</v>
      </c>
      <c r="D1435">
        <v>1</v>
      </c>
    </row>
    <row r="1436" spans="1:4" x14ac:dyDescent="0.45">
      <c r="A1436" s="29">
        <v>45838</v>
      </c>
      <c r="B1436" s="13">
        <v>7290005425196</v>
      </c>
      <c r="C1436" t="s">
        <v>22</v>
      </c>
      <c r="D1436">
        <v>1</v>
      </c>
    </row>
    <row r="1437" spans="1:4" x14ac:dyDescent="0.45">
      <c r="A1437" s="29">
        <v>45838</v>
      </c>
      <c r="B1437" s="13">
        <v>7290012116025</v>
      </c>
      <c r="C1437" t="s">
        <v>22</v>
      </c>
      <c r="D1437">
        <v>2</v>
      </c>
    </row>
    <row r="1438" spans="1:4" x14ac:dyDescent="0.45">
      <c r="A1438" s="29">
        <v>45838</v>
      </c>
      <c r="B1438" s="13">
        <v>7290012117534</v>
      </c>
      <c r="C1438" t="s">
        <v>22</v>
      </c>
      <c r="D1438">
        <v>2</v>
      </c>
    </row>
    <row r="1439" spans="1:4" x14ac:dyDescent="0.45">
      <c r="A1439" s="29">
        <v>45838</v>
      </c>
      <c r="B1439" s="13">
        <v>7290013268204</v>
      </c>
      <c r="C1439" t="s">
        <v>22</v>
      </c>
      <c r="D1439">
        <v>1</v>
      </c>
    </row>
    <row r="1440" spans="1:4" x14ac:dyDescent="0.45">
      <c r="A1440" s="29">
        <v>45838</v>
      </c>
      <c r="B1440" s="13">
        <v>7290013268891</v>
      </c>
      <c r="C1440" t="s">
        <v>22</v>
      </c>
      <c r="D1440">
        <v>1</v>
      </c>
    </row>
    <row r="1441" spans="1:4" x14ac:dyDescent="0.45">
      <c r="A1441" s="29">
        <v>45838</v>
      </c>
      <c r="B1441" s="13">
        <v>7290013269003</v>
      </c>
      <c r="C1441" t="s">
        <v>22</v>
      </c>
      <c r="D1441">
        <v>2</v>
      </c>
    </row>
    <row r="1442" spans="1:4" x14ac:dyDescent="0.45">
      <c r="A1442" s="29">
        <v>45838</v>
      </c>
      <c r="B1442" s="13">
        <v>7290014397453</v>
      </c>
      <c r="C1442" t="s">
        <v>22</v>
      </c>
      <c r="D1442">
        <v>1</v>
      </c>
    </row>
    <row r="1443" spans="1:4" x14ac:dyDescent="0.45">
      <c r="A1443" s="29">
        <v>45838</v>
      </c>
      <c r="B1443" s="13">
        <v>7290019274483</v>
      </c>
      <c r="C1443" t="s">
        <v>22</v>
      </c>
      <c r="D1443">
        <v>2</v>
      </c>
    </row>
    <row r="1444" spans="1:4" x14ac:dyDescent="0.45">
      <c r="A1444" s="29">
        <v>45838</v>
      </c>
      <c r="B1444" s="13">
        <v>7290019274490</v>
      </c>
      <c r="C1444" t="s">
        <v>22</v>
      </c>
      <c r="D1444">
        <v>1</v>
      </c>
    </row>
    <row r="1445" spans="1:4" x14ac:dyDescent="0.45">
      <c r="A1445" s="29">
        <v>45838</v>
      </c>
      <c r="B1445" s="13">
        <v>7290019611325</v>
      </c>
      <c r="C1445" t="s">
        <v>22</v>
      </c>
      <c r="D1445">
        <v>1</v>
      </c>
    </row>
    <row r="1446" spans="1:4" x14ac:dyDescent="0.45">
      <c r="A1446" s="29">
        <v>45838</v>
      </c>
      <c r="B1446" s="13">
        <v>7290103702489</v>
      </c>
      <c r="C1446" t="s">
        <v>22</v>
      </c>
      <c r="D1446">
        <v>4</v>
      </c>
    </row>
    <row r="1447" spans="1:4" x14ac:dyDescent="0.45">
      <c r="A1447" s="29">
        <v>45838</v>
      </c>
      <c r="B1447" s="13">
        <v>7290103703370</v>
      </c>
      <c r="C1447" t="s">
        <v>22</v>
      </c>
      <c r="D1447">
        <v>4</v>
      </c>
    </row>
    <row r="1448" spans="1:4" x14ac:dyDescent="0.45">
      <c r="A1448" s="29">
        <v>45838</v>
      </c>
      <c r="B1448" s="13">
        <v>7290103704155</v>
      </c>
      <c r="C1448" t="s">
        <v>22</v>
      </c>
      <c r="D1448">
        <v>4</v>
      </c>
    </row>
    <row r="1449" spans="1:4" x14ac:dyDescent="0.45">
      <c r="A1449" s="29">
        <v>45838</v>
      </c>
      <c r="B1449" s="13">
        <v>7290103704179</v>
      </c>
      <c r="C1449" t="s">
        <v>22</v>
      </c>
      <c r="D1449">
        <v>5</v>
      </c>
    </row>
    <row r="1450" spans="1:4" x14ac:dyDescent="0.45">
      <c r="A1450" s="29">
        <v>45838</v>
      </c>
      <c r="B1450" s="13">
        <v>7290103704919</v>
      </c>
      <c r="C1450" t="s">
        <v>22</v>
      </c>
      <c r="D1450">
        <v>4</v>
      </c>
    </row>
    <row r="1451" spans="1:4" x14ac:dyDescent="0.45">
      <c r="A1451" s="29">
        <v>45838</v>
      </c>
      <c r="B1451" s="13">
        <v>7290107280099</v>
      </c>
      <c r="C1451" t="s">
        <v>22</v>
      </c>
      <c r="D1451">
        <v>0</v>
      </c>
    </row>
    <row r="1452" spans="1:4" x14ac:dyDescent="0.45">
      <c r="A1452" s="29">
        <v>45838</v>
      </c>
      <c r="B1452" s="13">
        <v>7290108351699</v>
      </c>
      <c r="C1452" t="s">
        <v>22</v>
      </c>
      <c r="D1452">
        <v>3</v>
      </c>
    </row>
    <row r="1453" spans="1:4" x14ac:dyDescent="0.45">
      <c r="A1453" s="29">
        <v>45838</v>
      </c>
      <c r="B1453" s="13">
        <v>7290108352702</v>
      </c>
      <c r="C1453" t="s">
        <v>22</v>
      </c>
      <c r="D1453">
        <v>0</v>
      </c>
    </row>
    <row r="1454" spans="1:4" x14ac:dyDescent="0.45">
      <c r="A1454" s="29">
        <v>45838</v>
      </c>
      <c r="B1454" s="13">
        <v>7290108356298</v>
      </c>
      <c r="C1454" t="s">
        <v>22</v>
      </c>
      <c r="D1454">
        <v>3</v>
      </c>
    </row>
    <row r="1455" spans="1:4" x14ac:dyDescent="0.45">
      <c r="A1455" s="29">
        <v>45838</v>
      </c>
      <c r="B1455" s="13">
        <v>7290108356700</v>
      </c>
      <c r="C1455" t="s">
        <v>22</v>
      </c>
      <c r="D1455">
        <v>0</v>
      </c>
    </row>
    <row r="1456" spans="1:4" x14ac:dyDescent="0.45">
      <c r="A1456" s="29">
        <v>45838</v>
      </c>
      <c r="B1456" s="13">
        <v>7290108356717</v>
      </c>
      <c r="C1456" t="s">
        <v>22</v>
      </c>
      <c r="D1456">
        <v>3</v>
      </c>
    </row>
    <row r="1457" spans="1:4" x14ac:dyDescent="0.45">
      <c r="A1457" s="29">
        <v>45838</v>
      </c>
      <c r="B1457" s="13">
        <v>7290108356724</v>
      </c>
      <c r="C1457" t="s">
        <v>22</v>
      </c>
      <c r="D1457">
        <v>3</v>
      </c>
    </row>
    <row r="1458" spans="1:4" x14ac:dyDescent="0.45">
      <c r="A1458" s="29">
        <v>45838</v>
      </c>
      <c r="B1458" s="13">
        <v>7290108357240</v>
      </c>
      <c r="C1458" t="s">
        <v>22</v>
      </c>
      <c r="D1458">
        <v>2</v>
      </c>
    </row>
    <row r="1459" spans="1:4" x14ac:dyDescent="0.45">
      <c r="A1459" s="29">
        <v>45838</v>
      </c>
      <c r="B1459" s="13">
        <v>7290108357288</v>
      </c>
      <c r="C1459" t="s">
        <v>22</v>
      </c>
      <c r="D1459">
        <v>5</v>
      </c>
    </row>
    <row r="1460" spans="1:4" x14ac:dyDescent="0.45">
      <c r="A1460" s="29">
        <v>45838</v>
      </c>
      <c r="B1460" s="13">
        <v>7290108357844</v>
      </c>
      <c r="C1460" t="s">
        <v>22</v>
      </c>
      <c r="D1460">
        <v>1</v>
      </c>
    </row>
    <row r="1461" spans="1:4" x14ac:dyDescent="0.45">
      <c r="A1461" s="29">
        <v>45838</v>
      </c>
      <c r="B1461" s="13">
        <v>7290108359077</v>
      </c>
      <c r="C1461" t="s">
        <v>22</v>
      </c>
      <c r="D1461">
        <v>1</v>
      </c>
    </row>
    <row r="1462" spans="1:4" x14ac:dyDescent="0.45">
      <c r="A1462" s="29">
        <v>45838</v>
      </c>
      <c r="B1462" s="13">
        <v>7290108359176</v>
      </c>
      <c r="C1462" t="s">
        <v>22</v>
      </c>
      <c r="D1462">
        <v>0</v>
      </c>
    </row>
    <row r="1463" spans="1:4" x14ac:dyDescent="0.45">
      <c r="A1463" s="29">
        <v>45838</v>
      </c>
      <c r="B1463" s="13">
        <v>7290108359190</v>
      </c>
      <c r="C1463" t="s">
        <v>22</v>
      </c>
      <c r="D1463">
        <v>0</v>
      </c>
    </row>
    <row r="1464" spans="1:4" x14ac:dyDescent="0.45">
      <c r="A1464" s="29">
        <v>45838</v>
      </c>
      <c r="B1464" s="13">
        <v>8001090184375</v>
      </c>
      <c r="C1464" t="s">
        <v>22</v>
      </c>
      <c r="D1464">
        <v>2</v>
      </c>
    </row>
    <row r="1465" spans="1:4" x14ac:dyDescent="0.45">
      <c r="A1465" s="29">
        <v>45838</v>
      </c>
      <c r="B1465" s="13">
        <v>8001090184412</v>
      </c>
      <c r="C1465" t="s">
        <v>22</v>
      </c>
      <c r="D1465">
        <v>5</v>
      </c>
    </row>
    <row r="1466" spans="1:4" x14ac:dyDescent="0.45">
      <c r="A1466" s="29">
        <v>45838</v>
      </c>
      <c r="B1466" s="13">
        <v>8001841625362</v>
      </c>
      <c r="C1466" t="s">
        <v>22</v>
      </c>
      <c r="D1466">
        <v>1</v>
      </c>
    </row>
    <row r="1467" spans="1:4" x14ac:dyDescent="0.45">
      <c r="A1467" s="29">
        <v>45838</v>
      </c>
      <c r="B1467" s="13">
        <v>8001841893990</v>
      </c>
      <c r="C1467" t="s">
        <v>22</v>
      </c>
      <c r="D1467">
        <v>1</v>
      </c>
    </row>
    <row r="1468" spans="1:4" x14ac:dyDescent="0.45">
      <c r="A1468" s="29">
        <v>45838</v>
      </c>
      <c r="B1468" s="13">
        <v>8006540429327</v>
      </c>
      <c r="C1468" t="s">
        <v>22</v>
      </c>
      <c r="D1468">
        <v>5</v>
      </c>
    </row>
    <row r="1469" spans="1:4" x14ac:dyDescent="0.45">
      <c r="A1469" s="29">
        <v>45838</v>
      </c>
      <c r="B1469" s="13">
        <v>8700216163811</v>
      </c>
      <c r="C1469" t="s">
        <v>22</v>
      </c>
      <c r="D1469">
        <v>4</v>
      </c>
    </row>
    <row r="1470" spans="1:4" x14ac:dyDescent="0.45">
      <c r="A1470" s="29">
        <v>45838</v>
      </c>
      <c r="B1470" s="13">
        <v>8700216236034</v>
      </c>
      <c r="C1470" t="s">
        <v>22</v>
      </c>
      <c r="D1470">
        <v>0</v>
      </c>
    </row>
    <row r="1471" spans="1:4" x14ac:dyDescent="0.45">
      <c r="A1471" s="29">
        <v>45838</v>
      </c>
      <c r="B1471" s="13">
        <v>8700216236751</v>
      </c>
      <c r="C1471" t="s">
        <v>22</v>
      </c>
      <c r="D1471">
        <v>2</v>
      </c>
    </row>
    <row r="1472" spans="1:4" x14ac:dyDescent="0.45">
      <c r="A1472" s="29">
        <v>45839</v>
      </c>
      <c r="B1472" s="13">
        <v>4084500088917</v>
      </c>
      <c r="C1472" t="s">
        <v>22</v>
      </c>
      <c r="D1472">
        <v>4</v>
      </c>
    </row>
    <row r="1473" spans="1:4" x14ac:dyDescent="0.45">
      <c r="A1473" s="29">
        <v>45839</v>
      </c>
      <c r="B1473" s="13">
        <v>4084500853836</v>
      </c>
      <c r="C1473" t="s">
        <v>22</v>
      </c>
      <c r="D1473">
        <v>5</v>
      </c>
    </row>
    <row r="1474" spans="1:4" x14ac:dyDescent="0.45">
      <c r="A1474" s="29">
        <v>45839</v>
      </c>
      <c r="B1474" s="13">
        <v>7290000286921</v>
      </c>
      <c r="C1474" t="s">
        <v>22</v>
      </c>
      <c r="D1474">
        <v>3</v>
      </c>
    </row>
    <row r="1475" spans="1:4" x14ac:dyDescent="0.45">
      <c r="A1475" s="29">
        <v>45839</v>
      </c>
      <c r="B1475" s="13">
        <v>7290000288024</v>
      </c>
      <c r="C1475" t="s">
        <v>22</v>
      </c>
      <c r="D1475">
        <v>4</v>
      </c>
    </row>
    <row r="1476" spans="1:4" x14ac:dyDescent="0.45">
      <c r="A1476" s="29">
        <v>45839</v>
      </c>
      <c r="B1476" s="13">
        <v>7290000288307</v>
      </c>
      <c r="C1476" t="s">
        <v>22</v>
      </c>
      <c r="D1476">
        <v>1</v>
      </c>
    </row>
    <row r="1477" spans="1:4" x14ac:dyDescent="0.45">
      <c r="A1477" s="29">
        <v>45839</v>
      </c>
      <c r="B1477" s="13">
        <v>7290000288659</v>
      </c>
      <c r="C1477" t="s">
        <v>22</v>
      </c>
      <c r="D1477">
        <v>0</v>
      </c>
    </row>
    <row r="1478" spans="1:4" x14ac:dyDescent="0.45">
      <c r="A1478" s="29">
        <v>45839</v>
      </c>
      <c r="B1478" s="13">
        <v>7290000292915</v>
      </c>
      <c r="C1478" t="s">
        <v>22</v>
      </c>
      <c r="D1478">
        <v>1</v>
      </c>
    </row>
    <row r="1479" spans="1:4" x14ac:dyDescent="0.45">
      <c r="A1479" s="29">
        <v>45839</v>
      </c>
      <c r="B1479" s="13">
        <v>7290000294780</v>
      </c>
      <c r="C1479" t="s">
        <v>22</v>
      </c>
      <c r="D1479">
        <v>5</v>
      </c>
    </row>
    <row r="1480" spans="1:4" x14ac:dyDescent="0.45">
      <c r="A1480" s="29">
        <v>45839</v>
      </c>
      <c r="B1480" s="13">
        <v>7290000295367</v>
      </c>
      <c r="C1480" t="s">
        <v>22</v>
      </c>
      <c r="D1480">
        <v>2</v>
      </c>
    </row>
    <row r="1481" spans="1:4" x14ac:dyDescent="0.45">
      <c r="A1481" s="29">
        <v>45839</v>
      </c>
      <c r="B1481" s="13">
        <v>7290000295541</v>
      </c>
      <c r="C1481" t="s">
        <v>22</v>
      </c>
      <c r="D1481">
        <v>0</v>
      </c>
    </row>
    <row r="1482" spans="1:4" x14ac:dyDescent="0.45">
      <c r="A1482" s="29">
        <v>45839</v>
      </c>
      <c r="B1482" s="13">
        <v>7290001246610</v>
      </c>
      <c r="C1482" t="s">
        <v>22</v>
      </c>
      <c r="D1482">
        <v>3</v>
      </c>
    </row>
    <row r="1483" spans="1:4" x14ac:dyDescent="0.45">
      <c r="A1483" s="29">
        <v>45839</v>
      </c>
      <c r="B1483" s="13">
        <v>7290005424700</v>
      </c>
      <c r="C1483" t="s">
        <v>22</v>
      </c>
      <c r="D1483">
        <v>1</v>
      </c>
    </row>
    <row r="1484" spans="1:4" x14ac:dyDescent="0.45">
      <c r="A1484" s="29">
        <v>45839</v>
      </c>
      <c r="B1484" s="13">
        <v>7290005425110</v>
      </c>
      <c r="C1484" t="s">
        <v>22</v>
      </c>
      <c r="D1484">
        <v>1</v>
      </c>
    </row>
    <row r="1485" spans="1:4" x14ac:dyDescent="0.45">
      <c r="A1485" s="29">
        <v>45839</v>
      </c>
      <c r="B1485" s="13">
        <v>7290005425196</v>
      </c>
      <c r="C1485" t="s">
        <v>22</v>
      </c>
      <c r="D1485">
        <v>3</v>
      </c>
    </row>
    <row r="1486" spans="1:4" x14ac:dyDescent="0.45">
      <c r="A1486" s="29">
        <v>45839</v>
      </c>
      <c r="B1486" s="13">
        <v>7290012116025</v>
      </c>
      <c r="C1486" t="s">
        <v>22</v>
      </c>
      <c r="D1486">
        <v>2</v>
      </c>
    </row>
    <row r="1487" spans="1:4" x14ac:dyDescent="0.45">
      <c r="A1487" s="29">
        <v>45839</v>
      </c>
      <c r="B1487" s="13">
        <v>7290012117534</v>
      </c>
      <c r="C1487" t="s">
        <v>22</v>
      </c>
      <c r="D1487">
        <v>3</v>
      </c>
    </row>
    <row r="1488" spans="1:4" x14ac:dyDescent="0.45">
      <c r="A1488" s="29">
        <v>45839</v>
      </c>
      <c r="B1488" s="13">
        <v>7290013268204</v>
      </c>
      <c r="C1488" t="s">
        <v>22</v>
      </c>
      <c r="D1488">
        <v>0</v>
      </c>
    </row>
    <row r="1489" spans="1:4" x14ac:dyDescent="0.45">
      <c r="A1489" s="29">
        <v>45839</v>
      </c>
      <c r="B1489" s="13">
        <v>7290013268891</v>
      </c>
      <c r="C1489" t="s">
        <v>22</v>
      </c>
      <c r="D1489">
        <v>2</v>
      </c>
    </row>
    <row r="1490" spans="1:4" x14ac:dyDescent="0.45">
      <c r="A1490" s="29">
        <v>45839</v>
      </c>
      <c r="B1490" s="13">
        <v>7290013269003</v>
      </c>
      <c r="C1490" t="s">
        <v>22</v>
      </c>
      <c r="D1490">
        <v>3</v>
      </c>
    </row>
    <row r="1491" spans="1:4" x14ac:dyDescent="0.45">
      <c r="A1491" s="29">
        <v>45839</v>
      </c>
      <c r="B1491" s="13">
        <v>7290014397453</v>
      </c>
      <c r="C1491" t="s">
        <v>22</v>
      </c>
      <c r="D1491">
        <v>3</v>
      </c>
    </row>
    <row r="1492" spans="1:4" x14ac:dyDescent="0.45">
      <c r="A1492" s="29">
        <v>45839</v>
      </c>
      <c r="B1492" s="13">
        <v>7290019274483</v>
      </c>
      <c r="C1492" t="s">
        <v>22</v>
      </c>
      <c r="D1492">
        <v>3</v>
      </c>
    </row>
    <row r="1493" spans="1:4" x14ac:dyDescent="0.45">
      <c r="A1493" s="29">
        <v>45839</v>
      </c>
      <c r="B1493" s="13">
        <v>7290019274490</v>
      </c>
      <c r="C1493" t="s">
        <v>22</v>
      </c>
      <c r="D1493">
        <v>3</v>
      </c>
    </row>
    <row r="1494" spans="1:4" x14ac:dyDescent="0.45">
      <c r="A1494" s="29">
        <v>45839</v>
      </c>
      <c r="B1494" s="13">
        <v>7290019611325</v>
      </c>
      <c r="C1494" t="s">
        <v>22</v>
      </c>
      <c r="D1494">
        <v>3</v>
      </c>
    </row>
    <row r="1495" spans="1:4" x14ac:dyDescent="0.45">
      <c r="A1495" s="29">
        <v>45839</v>
      </c>
      <c r="B1495" s="13">
        <v>7290103702489</v>
      </c>
      <c r="C1495" t="s">
        <v>22</v>
      </c>
      <c r="D1495">
        <v>4</v>
      </c>
    </row>
    <row r="1496" spans="1:4" x14ac:dyDescent="0.45">
      <c r="A1496" s="29">
        <v>45839</v>
      </c>
      <c r="B1496" s="13">
        <v>7290103703370</v>
      </c>
      <c r="C1496" t="s">
        <v>22</v>
      </c>
      <c r="D1496">
        <v>4</v>
      </c>
    </row>
    <row r="1497" spans="1:4" x14ac:dyDescent="0.45">
      <c r="A1497" s="29">
        <v>45839</v>
      </c>
      <c r="B1497" s="13">
        <v>7290103704155</v>
      </c>
      <c r="C1497" t="s">
        <v>22</v>
      </c>
      <c r="D1497">
        <v>4</v>
      </c>
    </row>
    <row r="1498" spans="1:4" x14ac:dyDescent="0.45">
      <c r="A1498" s="29">
        <v>45839</v>
      </c>
      <c r="B1498" s="13">
        <v>7290103704179</v>
      </c>
      <c r="C1498" t="s">
        <v>22</v>
      </c>
      <c r="D1498">
        <v>5</v>
      </c>
    </row>
    <row r="1499" spans="1:4" x14ac:dyDescent="0.45">
      <c r="A1499" s="29">
        <v>45839</v>
      </c>
      <c r="B1499" s="13">
        <v>7290103704919</v>
      </c>
      <c r="C1499" t="s">
        <v>22</v>
      </c>
      <c r="D1499">
        <v>4</v>
      </c>
    </row>
    <row r="1500" spans="1:4" x14ac:dyDescent="0.45">
      <c r="A1500" s="29">
        <v>45839</v>
      </c>
      <c r="B1500" s="13">
        <v>7290107280099</v>
      </c>
      <c r="C1500" t="s">
        <v>22</v>
      </c>
      <c r="D1500">
        <v>1</v>
      </c>
    </row>
    <row r="1501" spans="1:4" x14ac:dyDescent="0.45">
      <c r="A1501" s="29">
        <v>45839</v>
      </c>
      <c r="B1501" s="13">
        <v>7290108351699</v>
      </c>
      <c r="C1501" t="s">
        <v>22</v>
      </c>
      <c r="D1501">
        <v>2</v>
      </c>
    </row>
    <row r="1502" spans="1:4" x14ac:dyDescent="0.45">
      <c r="A1502" s="29">
        <v>45839</v>
      </c>
      <c r="B1502" s="13">
        <v>7290108352702</v>
      </c>
      <c r="C1502" t="s">
        <v>22</v>
      </c>
      <c r="D1502">
        <v>0</v>
      </c>
    </row>
    <row r="1503" spans="1:4" x14ac:dyDescent="0.45">
      <c r="A1503" s="29">
        <v>45839</v>
      </c>
      <c r="B1503" s="13">
        <v>7290108356298</v>
      </c>
      <c r="C1503" t="s">
        <v>22</v>
      </c>
      <c r="D1503">
        <v>3</v>
      </c>
    </row>
    <row r="1504" spans="1:4" x14ac:dyDescent="0.45">
      <c r="A1504" s="29">
        <v>45839</v>
      </c>
      <c r="B1504" s="13">
        <v>7290108356700</v>
      </c>
      <c r="C1504" t="s">
        <v>22</v>
      </c>
      <c r="D1504">
        <v>1</v>
      </c>
    </row>
    <row r="1505" spans="1:4" x14ac:dyDescent="0.45">
      <c r="A1505" s="29">
        <v>45839</v>
      </c>
      <c r="B1505" s="13">
        <v>7290108356717</v>
      </c>
      <c r="C1505" t="s">
        <v>22</v>
      </c>
      <c r="D1505">
        <v>3</v>
      </c>
    </row>
    <row r="1506" spans="1:4" x14ac:dyDescent="0.45">
      <c r="A1506" s="29">
        <v>45839</v>
      </c>
      <c r="B1506" s="13">
        <v>7290108356724</v>
      </c>
      <c r="C1506" t="s">
        <v>22</v>
      </c>
      <c r="D1506">
        <v>3</v>
      </c>
    </row>
    <row r="1507" spans="1:4" x14ac:dyDescent="0.45">
      <c r="A1507" s="29">
        <v>45839</v>
      </c>
      <c r="B1507" s="13">
        <v>7290108357240</v>
      </c>
      <c r="C1507" t="s">
        <v>22</v>
      </c>
      <c r="D1507">
        <v>3</v>
      </c>
    </row>
    <row r="1508" spans="1:4" x14ac:dyDescent="0.45">
      <c r="A1508" s="29">
        <v>45839</v>
      </c>
      <c r="B1508" s="13">
        <v>7290108357288</v>
      </c>
      <c r="C1508" t="s">
        <v>22</v>
      </c>
      <c r="D1508">
        <v>5</v>
      </c>
    </row>
    <row r="1509" spans="1:4" x14ac:dyDescent="0.45">
      <c r="A1509" s="29">
        <v>45839</v>
      </c>
      <c r="B1509" s="13">
        <v>7290108357844</v>
      </c>
      <c r="C1509" t="s">
        <v>22</v>
      </c>
      <c r="D1509">
        <v>3</v>
      </c>
    </row>
    <row r="1510" spans="1:4" x14ac:dyDescent="0.45">
      <c r="A1510" s="29">
        <v>45839</v>
      </c>
      <c r="B1510" s="13">
        <v>7290108359077</v>
      </c>
      <c r="C1510" t="s">
        <v>22</v>
      </c>
      <c r="D1510">
        <v>1</v>
      </c>
    </row>
    <row r="1511" spans="1:4" x14ac:dyDescent="0.45">
      <c r="A1511" s="29">
        <v>45839</v>
      </c>
      <c r="B1511" s="13">
        <v>7290108359176</v>
      </c>
      <c r="C1511" t="s">
        <v>22</v>
      </c>
      <c r="D1511">
        <v>1</v>
      </c>
    </row>
    <row r="1512" spans="1:4" x14ac:dyDescent="0.45">
      <c r="A1512" s="29">
        <v>45839</v>
      </c>
      <c r="B1512" s="13">
        <v>7290108359190</v>
      </c>
      <c r="C1512" t="s">
        <v>22</v>
      </c>
      <c r="D1512">
        <v>0</v>
      </c>
    </row>
    <row r="1513" spans="1:4" x14ac:dyDescent="0.45">
      <c r="A1513" s="29">
        <v>45839</v>
      </c>
      <c r="B1513" s="13">
        <v>8001090184375</v>
      </c>
      <c r="C1513" t="s">
        <v>22</v>
      </c>
      <c r="D1513">
        <v>3</v>
      </c>
    </row>
    <row r="1514" spans="1:4" x14ac:dyDescent="0.45">
      <c r="A1514" s="29">
        <v>45839</v>
      </c>
      <c r="B1514" s="13">
        <v>8001090184412</v>
      </c>
      <c r="C1514" t="s">
        <v>22</v>
      </c>
      <c r="D1514">
        <v>4</v>
      </c>
    </row>
    <row r="1515" spans="1:4" x14ac:dyDescent="0.45">
      <c r="A1515" s="29">
        <v>45839</v>
      </c>
      <c r="B1515" s="13">
        <v>8001841625362</v>
      </c>
      <c r="C1515" t="s">
        <v>22</v>
      </c>
      <c r="D1515">
        <v>2</v>
      </c>
    </row>
    <row r="1516" spans="1:4" x14ac:dyDescent="0.45">
      <c r="A1516" s="29">
        <v>45839</v>
      </c>
      <c r="B1516" s="13">
        <v>8001841893990</v>
      </c>
      <c r="C1516" t="s">
        <v>22</v>
      </c>
      <c r="D1516">
        <v>0</v>
      </c>
    </row>
    <row r="1517" spans="1:4" x14ac:dyDescent="0.45">
      <c r="A1517" s="29">
        <v>45839</v>
      </c>
      <c r="B1517" s="13">
        <v>8006540429327</v>
      </c>
      <c r="C1517" t="s">
        <v>22</v>
      </c>
      <c r="D1517">
        <v>4</v>
      </c>
    </row>
    <row r="1518" spans="1:4" x14ac:dyDescent="0.45">
      <c r="A1518" s="29">
        <v>45839</v>
      </c>
      <c r="B1518" s="13">
        <v>8700216163811</v>
      </c>
      <c r="C1518" t="s">
        <v>22</v>
      </c>
      <c r="D1518">
        <v>4</v>
      </c>
    </row>
    <row r="1519" spans="1:4" x14ac:dyDescent="0.45">
      <c r="A1519" s="29">
        <v>45839</v>
      </c>
      <c r="B1519" s="13">
        <v>8700216236034</v>
      </c>
      <c r="C1519" t="s">
        <v>22</v>
      </c>
      <c r="D1519">
        <v>3</v>
      </c>
    </row>
    <row r="1520" spans="1:4" x14ac:dyDescent="0.45">
      <c r="A1520" s="29">
        <v>45839</v>
      </c>
      <c r="B1520" s="13">
        <v>8700216236751</v>
      </c>
      <c r="C1520" t="s">
        <v>22</v>
      </c>
      <c r="D1520">
        <v>3</v>
      </c>
    </row>
    <row r="1521" spans="1:4" x14ac:dyDescent="0.45">
      <c r="A1521" s="29">
        <v>45840</v>
      </c>
      <c r="B1521" s="13">
        <v>4084500088917</v>
      </c>
      <c r="C1521" t="s">
        <v>22</v>
      </c>
      <c r="D1521">
        <v>5</v>
      </c>
    </row>
    <row r="1522" spans="1:4" x14ac:dyDescent="0.45">
      <c r="A1522" s="29">
        <v>45840</v>
      </c>
      <c r="B1522" s="13">
        <v>4084500853836</v>
      </c>
      <c r="C1522" t="s">
        <v>22</v>
      </c>
      <c r="D1522">
        <v>4</v>
      </c>
    </row>
    <row r="1523" spans="1:4" x14ac:dyDescent="0.45">
      <c r="A1523" s="29">
        <v>45840</v>
      </c>
      <c r="B1523" s="13">
        <v>7290000286921</v>
      </c>
      <c r="C1523" t="s">
        <v>22</v>
      </c>
      <c r="D1523">
        <v>1</v>
      </c>
    </row>
    <row r="1524" spans="1:4" x14ac:dyDescent="0.45">
      <c r="A1524" s="29">
        <v>45840</v>
      </c>
      <c r="B1524" s="13">
        <v>7290000288024</v>
      </c>
      <c r="C1524" t="s">
        <v>22</v>
      </c>
      <c r="D1524">
        <v>5</v>
      </c>
    </row>
    <row r="1525" spans="1:4" x14ac:dyDescent="0.45">
      <c r="A1525" s="29">
        <v>45840</v>
      </c>
      <c r="B1525" s="13">
        <v>7290000288307</v>
      </c>
      <c r="C1525" t="s">
        <v>22</v>
      </c>
      <c r="D1525">
        <v>1</v>
      </c>
    </row>
    <row r="1526" spans="1:4" x14ac:dyDescent="0.45">
      <c r="A1526" s="29">
        <v>45840</v>
      </c>
      <c r="B1526" s="13">
        <v>7290000288659</v>
      </c>
      <c r="C1526" t="s">
        <v>22</v>
      </c>
      <c r="D1526">
        <v>1</v>
      </c>
    </row>
    <row r="1527" spans="1:4" x14ac:dyDescent="0.45">
      <c r="A1527" s="29">
        <v>45840</v>
      </c>
      <c r="B1527" s="13">
        <v>7290000292915</v>
      </c>
      <c r="C1527" t="s">
        <v>22</v>
      </c>
      <c r="D1527">
        <v>5</v>
      </c>
    </row>
    <row r="1528" spans="1:4" x14ac:dyDescent="0.45">
      <c r="A1528" s="29">
        <v>45840</v>
      </c>
      <c r="B1528" s="13">
        <v>7290000294780</v>
      </c>
      <c r="C1528" t="s">
        <v>22</v>
      </c>
      <c r="D1528">
        <v>4</v>
      </c>
    </row>
    <row r="1529" spans="1:4" x14ac:dyDescent="0.45">
      <c r="A1529" s="29">
        <v>45840</v>
      </c>
      <c r="B1529" s="13">
        <v>7290000295367</v>
      </c>
      <c r="C1529" t="s">
        <v>22</v>
      </c>
      <c r="D1529">
        <v>2</v>
      </c>
    </row>
    <row r="1530" spans="1:4" x14ac:dyDescent="0.45">
      <c r="A1530" s="29">
        <v>45840</v>
      </c>
      <c r="B1530" s="13">
        <v>7290000295541</v>
      </c>
      <c r="C1530" t="s">
        <v>22</v>
      </c>
      <c r="D1530">
        <v>0</v>
      </c>
    </row>
    <row r="1531" spans="1:4" x14ac:dyDescent="0.45">
      <c r="A1531" s="29">
        <v>45840</v>
      </c>
      <c r="B1531" s="13">
        <v>7290001246610</v>
      </c>
      <c r="C1531" t="s">
        <v>22</v>
      </c>
      <c r="D1531">
        <v>2</v>
      </c>
    </row>
    <row r="1532" spans="1:4" x14ac:dyDescent="0.45">
      <c r="A1532" s="29">
        <v>45840</v>
      </c>
      <c r="B1532" s="13">
        <v>7290005424700</v>
      </c>
      <c r="C1532" t="s">
        <v>22</v>
      </c>
      <c r="D1532">
        <v>5</v>
      </c>
    </row>
    <row r="1533" spans="1:4" x14ac:dyDescent="0.45">
      <c r="A1533" s="29">
        <v>45840</v>
      </c>
      <c r="B1533" s="13">
        <v>7290005425110</v>
      </c>
      <c r="C1533" t="s">
        <v>22</v>
      </c>
      <c r="D1533">
        <v>2</v>
      </c>
    </row>
    <row r="1534" spans="1:4" x14ac:dyDescent="0.45">
      <c r="A1534" s="29">
        <v>45840</v>
      </c>
      <c r="B1534" s="13">
        <v>7290005425196</v>
      </c>
      <c r="C1534" t="s">
        <v>22</v>
      </c>
      <c r="D1534">
        <v>2</v>
      </c>
    </row>
    <row r="1535" spans="1:4" x14ac:dyDescent="0.45">
      <c r="A1535" s="29">
        <v>45840</v>
      </c>
      <c r="B1535" s="13">
        <v>7290012116025</v>
      </c>
      <c r="C1535" t="s">
        <v>22</v>
      </c>
      <c r="D1535">
        <v>3</v>
      </c>
    </row>
    <row r="1536" spans="1:4" x14ac:dyDescent="0.45">
      <c r="A1536" s="29">
        <v>45840</v>
      </c>
      <c r="B1536" s="13">
        <v>7290012117534</v>
      </c>
      <c r="C1536" t="s">
        <v>22</v>
      </c>
      <c r="D1536">
        <v>2</v>
      </c>
    </row>
    <row r="1537" spans="1:4" x14ac:dyDescent="0.45">
      <c r="A1537" s="29">
        <v>45840</v>
      </c>
      <c r="B1537" s="13">
        <v>7290013268204</v>
      </c>
      <c r="C1537" t="s">
        <v>22</v>
      </c>
      <c r="D1537">
        <v>0</v>
      </c>
    </row>
    <row r="1538" spans="1:4" x14ac:dyDescent="0.45">
      <c r="A1538" s="29">
        <v>45840</v>
      </c>
      <c r="B1538" s="13">
        <v>7290013268891</v>
      </c>
      <c r="C1538" t="s">
        <v>22</v>
      </c>
      <c r="D1538">
        <v>2</v>
      </c>
    </row>
    <row r="1539" spans="1:4" x14ac:dyDescent="0.45">
      <c r="A1539" s="29">
        <v>45840</v>
      </c>
      <c r="B1539" s="13">
        <v>7290013269003</v>
      </c>
      <c r="C1539" t="s">
        <v>22</v>
      </c>
      <c r="D1539">
        <v>1</v>
      </c>
    </row>
    <row r="1540" spans="1:4" x14ac:dyDescent="0.45">
      <c r="A1540" s="29">
        <v>45840</v>
      </c>
      <c r="B1540" s="13">
        <v>7290014397453</v>
      </c>
      <c r="C1540" t="s">
        <v>22</v>
      </c>
      <c r="D1540">
        <v>2</v>
      </c>
    </row>
    <row r="1541" spans="1:4" x14ac:dyDescent="0.45">
      <c r="A1541" s="29">
        <v>45840</v>
      </c>
      <c r="B1541" s="13">
        <v>7290019274483</v>
      </c>
      <c r="C1541" t="s">
        <v>22</v>
      </c>
      <c r="D1541">
        <v>1</v>
      </c>
    </row>
    <row r="1542" spans="1:4" x14ac:dyDescent="0.45">
      <c r="A1542" s="29">
        <v>45840</v>
      </c>
      <c r="B1542" s="13">
        <v>7290019274490</v>
      </c>
      <c r="C1542" t="s">
        <v>22</v>
      </c>
      <c r="D1542">
        <v>2</v>
      </c>
    </row>
    <row r="1543" spans="1:4" x14ac:dyDescent="0.45">
      <c r="A1543" s="29">
        <v>45840</v>
      </c>
      <c r="B1543" s="13">
        <v>7290019611325</v>
      </c>
      <c r="C1543" t="s">
        <v>22</v>
      </c>
      <c r="D1543">
        <v>1</v>
      </c>
    </row>
    <row r="1544" spans="1:4" x14ac:dyDescent="0.45">
      <c r="A1544" s="29">
        <v>45840</v>
      </c>
      <c r="B1544" s="13">
        <v>7290103702489</v>
      </c>
      <c r="C1544" t="s">
        <v>22</v>
      </c>
      <c r="D1544">
        <v>4</v>
      </c>
    </row>
    <row r="1545" spans="1:4" x14ac:dyDescent="0.45">
      <c r="A1545" s="29">
        <v>45840</v>
      </c>
      <c r="B1545" s="13">
        <v>7290103703370</v>
      </c>
      <c r="C1545" t="s">
        <v>22</v>
      </c>
      <c r="D1545">
        <v>5</v>
      </c>
    </row>
    <row r="1546" spans="1:4" x14ac:dyDescent="0.45">
      <c r="A1546" s="29">
        <v>45840</v>
      </c>
      <c r="B1546" s="13">
        <v>7290103704155</v>
      </c>
      <c r="C1546" t="s">
        <v>22</v>
      </c>
      <c r="D1546">
        <v>5</v>
      </c>
    </row>
    <row r="1547" spans="1:4" x14ac:dyDescent="0.45">
      <c r="A1547" s="29">
        <v>45840</v>
      </c>
      <c r="B1547" s="13">
        <v>7290103704179</v>
      </c>
      <c r="C1547" t="s">
        <v>22</v>
      </c>
      <c r="D1547">
        <v>4</v>
      </c>
    </row>
    <row r="1548" spans="1:4" x14ac:dyDescent="0.45">
      <c r="A1548" s="29">
        <v>45840</v>
      </c>
      <c r="B1548" s="13">
        <v>7290103704919</v>
      </c>
      <c r="C1548" t="s">
        <v>22</v>
      </c>
      <c r="D1548">
        <v>4</v>
      </c>
    </row>
    <row r="1549" spans="1:4" x14ac:dyDescent="0.45">
      <c r="A1549" s="29">
        <v>45840</v>
      </c>
      <c r="B1549" s="13">
        <v>7290107280099</v>
      </c>
      <c r="C1549" t="s">
        <v>22</v>
      </c>
      <c r="D1549">
        <v>0</v>
      </c>
    </row>
    <row r="1550" spans="1:4" x14ac:dyDescent="0.45">
      <c r="A1550" s="29">
        <v>45840</v>
      </c>
      <c r="B1550" s="13">
        <v>7290108351699</v>
      </c>
      <c r="C1550" t="s">
        <v>22</v>
      </c>
      <c r="D1550">
        <v>3</v>
      </c>
    </row>
    <row r="1551" spans="1:4" x14ac:dyDescent="0.45">
      <c r="A1551" s="29">
        <v>45840</v>
      </c>
      <c r="B1551" s="13">
        <v>7290108352702</v>
      </c>
      <c r="C1551" t="s">
        <v>22</v>
      </c>
      <c r="D1551">
        <v>0</v>
      </c>
    </row>
    <row r="1552" spans="1:4" x14ac:dyDescent="0.45">
      <c r="A1552" s="29">
        <v>45840</v>
      </c>
      <c r="B1552" s="13">
        <v>7290108356298</v>
      </c>
      <c r="C1552" t="s">
        <v>22</v>
      </c>
      <c r="D1552">
        <v>3</v>
      </c>
    </row>
    <row r="1553" spans="1:4" x14ac:dyDescent="0.45">
      <c r="A1553" s="29">
        <v>45840</v>
      </c>
      <c r="B1553" s="13">
        <v>7290108356700</v>
      </c>
      <c r="C1553" t="s">
        <v>22</v>
      </c>
      <c r="D1553">
        <v>1</v>
      </c>
    </row>
    <row r="1554" spans="1:4" x14ac:dyDescent="0.45">
      <c r="A1554" s="29">
        <v>45840</v>
      </c>
      <c r="B1554" s="13">
        <v>7290108356717</v>
      </c>
      <c r="C1554" t="s">
        <v>22</v>
      </c>
      <c r="D1554">
        <v>3</v>
      </c>
    </row>
    <row r="1555" spans="1:4" x14ac:dyDescent="0.45">
      <c r="A1555" s="29">
        <v>45840</v>
      </c>
      <c r="B1555" s="13">
        <v>7290108356724</v>
      </c>
      <c r="C1555" t="s">
        <v>22</v>
      </c>
      <c r="D1555">
        <v>5</v>
      </c>
    </row>
    <row r="1556" spans="1:4" x14ac:dyDescent="0.45">
      <c r="A1556" s="29">
        <v>45840</v>
      </c>
      <c r="B1556" s="13">
        <v>7290108357240</v>
      </c>
      <c r="C1556" t="s">
        <v>22</v>
      </c>
      <c r="D1556">
        <v>1</v>
      </c>
    </row>
    <row r="1557" spans="1:4" x14ac:dyDescent="0.45">
      <c r="A1557" s="29">
        <v>45840</v>
      </c>
      <c r="B1557" s="13">
        <v>7290108357288</v>
      </c>
      <c r="C1557" t="s">
        <v>22</v>
      </c>
      <c r="D1557">
        <v>5</v>
      </c>
    </row>
    <row r="1558" spans="1:4" x14ac:dyDescent="0.45">
      <c r="A1558" s="29">
        <v>45840</v>
      </c>
      <c r="B1558" s="13">
        <v>7290108357844</v>
      </c>
      <c r="C1558" t="s">
        <v>22</v>
      </c>
      <c r="D1558">
        <v>3</v>
      </c>
    </row>
    <row r="1559" spans="1:4" x14ac:dyDescent="0.45">
      <c r="A1559" s="29">
        <v>45840</v>
      </c>
      <c r="B1559" s="13">
        <v>7290108359077</v>
      </c>
      <c r="C1559" t="s">
        <v>22</v>
      </c>
      <c r="D1559">
        <v>0</v>
      </c>
    </row>
    <row r="1560" spans="1:4" x14ac:dyDescent="0.45">
      <c r="A1560" s="29">
        <v>45840</v>
      </c>
      <c r="B1560" s="13">
        <v>7290108359176</v>
      </c>
      <c r="C1560" t="s">
        <v>22</v>
      </c>
      <c r="D1560">
        <v>1</v>
      </c>
    </row>
    <row r="1561" spans="1:4" x14ac:dyDescent="0.45">
      <c r="A1561" s="29">
        <v>45840</v>
      </c>
      <c r="B1561" s="13">
        <v>7290108359190</v>
      </c>
      <c r="C1561" t="s">
        <v>22</v>
      </c>
      <c r="D1561">
        <v>1</v>
      </c>
    </row>
    <row r="1562" spans="1:4" x14ac:dyDescent="0.45">
      <c r="A1562" s="29">
        <v>45840</v>
      </c>
      <c r="B1562" s="13">
        <v>8001090184375</v>
      </c>
      <c r="C1562" t="s">
        <v>22</v>
      </c>
      <c r="D1562">
        <v>2</v>
      </c>
    </row>
    <row r="1563" spans="1:4" x14ac:dyDescent="0.45">
      <c r="A1563" s="29">
        <v>45840</v>
      </c>
      <c r="B1563" s="13">
        <v>8001090184412</v>
      </c>
      <c r="C1563" t="s">
        <v>22</v>
      </c>
      <c r="D1563">
        <v>4</v>
      </c>
    </row>
    <row r="1564" spans="1:4" x14ac:dyDescent="0.45">
      <c r="A1564" s="29">
        <v>45840</v>
      </c>
      <c r="B1564" s="13">
        <v>8001841625362</v>
      </c>
      <c r="C1564" t="s">
        <v>22</v>
      </c>
      <c r="D1564">
        <v>1</v>
      </c>
    </row>
    <row r="1565" spans="1:4" x14ac:dyDescent="0.45">
      <c r="A1565" s="29">
        <v>45840</v>
      </c>
      <c r="B1565" s="13">
        <v>8001841893990</v>
      </c>
      <c r="C1565" t="s">
        <v>22</v>
      </c>
      <c r="D1565">
        <v>0</v>
      </c>
    </row>
    <row r="1566" spans="1:4" x14ac:dyDescent="0.45">
      <c r="A1566" s="29">
        <v>45840</v>
      </c>
      <c r="B1566" s="13">
        <v>8006540429327</v>
      </c>
      <c r="C1566" t="s">
        <v>22</v>
      </c>
      <c r="D1566">
        <v>4</v>
      </c>
    </row>
    <row r="1567" spans="1:4" x14ac:dyDescent="0.45">
      <c r="A1567" s="29">
        <v>45840</v>
      </c>
      <c r="B1567" s="13">
        <v>8700216163811</v>
      </c>
      <c r="C1567" t="s">
        <v>22</v>
      </c>
      <c r="D1567">
        <v>4</v>
      </c>
    </row>
    <row r="1568" spans="1:4" x14ac:dyDescent="0.45">
      <c r="A1568" s="29">
        <v>45840</v>
      </c>
      <c r="B1568" s="13">
        <v>8700216236034</v>
      </c>
      <c r="C1568" t="s">
        <v>22</v>
      </c>
      <c r="D1568">
        <v>1</v>
      </c>
    </row>
    <row r="1569" spans="1:4" x14ac:dyDescent="0.45">
      <c r="A1569" s="29">
        <v>45840</v>
      </c>
      <c r="B1569" s="13">
        <v>8700216236751</v>
      </c>
      <c r="C1569" t="s">
        <v>22</v>
      </c>
      <c r="D1569">
        <v>2</v>
      </c>
    </row>
    <row r="1570" spans="1:4" x14ac:dyDescent="0.45">
      <c r="A1570" s="29">
        <v>45841</v>
      </c>
      <c r="B1570" s="13">
        <v>4084500088917</v>
      </c>
      <c r="C1570" t="s">
        <v>22</v>
      </c>
      <c r="D1570">
        <v>4</v>
      </c>
    </row>
    <row r="1571" spans="1:4" x14ac:dyDescent="0.45">
      <c r="A1571" s="29">
        <v>45841</v>
      </c>
      <c r="B1571" s="13">
        <v>4084500853836</v>
      </c>
      <c r="C1571" t="s">
        <v>22</v>
      </c>
      <c r="D1571">
        <v>4</v>
      </c>
    </row>
    <row r="1572" spans="1:4" x14ac:dyDescent="0.45">
      <c r="A1572" s="29">
        <v>45841</v>
      </c>
      <c r="B1572" s="13">
        <v>7290000286921</v>
      </c>
      <c r="C1572" t="s">
        <v>22</v>
      </c>
      <c r="D1572">
        <v>0</v>
      </c>
    </row>
    <row r="1573" spans="1:4" x14ac:dyDescent="0.45">
      <c r="A1573" s="29">
        <v>45841</v>
      </c>
      <c r="B1573" s="13">
        <v>7290000288024</v>
      </c>
      <c r="C1573" t="s">
        <v>22</v>
      </c>
      <c r="D1573">
        <v>5</v>
      </c>
    </row>
    <row r="1574" spans="1:4" x14ac:dyDescent="0.45">
      <c r="A1574" s="29">
        <v>45841</v>
      </c>
      <c r="B1574" s="13">
        <v>7290000288307</v>
      </c>
      <c r="C1574" t="s">
        <v>22</v>
      </c>
      <c r="D1574">
        <v>2</v>
      </c>
    </row>
    <row r="1575" spans="1:4" x14ac:dyDescent="0.45">
      <c r="A1575" s="29">
        <v>45841</v>
      </c>
      <c r="B1575" s="13">
        <v>7290000288659</v>
      </c>
      <c r="C1575" t="s">
        <v>22</v>
      </c>
      <c r="D1575">
        <v>2</v>
      </c>
    </row>
    <row r="1576" spans="1:4" x14ac:dyDescent="0.45">
      <c r="A1576" s="29">
        <v>45841</v>
      </c>
      <c r="B1576" s="13">
        <v>7290000292915</v>
      </c>
      <c r="C1576" t="s">
        <v>22</v>
      </c>
      <c r="D1576">
        <v>1</v>
      </c>
    </row>
    <row r="1577" spans="1:4" x14ac:dyDescent="0.45">
      <c r="A1577" s="29">
        <v>45841</v>
      </c>
      <c r="B1577" s="13">
        <v>7290000294780</v>
      </c>
      <c r="C1577" t="s">
        <v>22</v>
      </c>
      <c r="D1577">
        <v>5</v>
      </c>
    </row>
    <row r="1578" spans="1:4" x14ac:dyDescent="0.45">
      <c r="A1578" s="29">
        <v>45841</v>
      </c>
      <c r="B1578" s="13">
        <v>7290000295367</v>
      </c>
      <c r="C1578" t="s">
        <v>22</v>
      </c>
      <c r="D1578">
        <v>2</v>
      </c>
    </row>
    <row r="1579" spans="1:4" x14ac:dyDescent="0.45">
      <c r="A1579" s="29">
        <v>45841</v>
      </c>
      <c r="B1579" s="13">
        <v>7290000295541</v>
      </c>
      <c r="C1579" t="s">
        <v>22</v>
      </c>
      <c r="D1579">
        <v>0</v>
      </c>
    </row>
    <row r="1580" spans="1:4" x14ac:dyDescent="0.45">
      <c r="A1580" s="29">
        <v>45841</v>
      </c>
      <c r="B1580" s="13">
        <v>7290001246610</v>
      </c>
      <c r="C1580" t="s">
        <v>22</v>
      </c>
      <c r="D1580">
        <v>1</v>
      </c>
    </row>
    <row r="1581" spans="1:4" x14ac:dyDescent="0.45">
      <c r="A1581" s="29">
        <v>45841</v>
      </c>
      <c r="B1581" s="13">
        <v>7290005424700</v>
      </c>
      <c r="C1581" t="s">
        <v>22</v>
      </c>
      <c r="D1581">
        <v>1</v>
      </c>
    </row>
    <row r="1582" spans="1:4" x14ac:dyDescent="0.45">
      <c r="A1582" s="29">
        <v>45841</v>
      </c>
      <c r="B1582" s="13">
        <v>7290005425110</v>
      </c>
      <c r="C1582" t="s">
        <v>22</v>
      </c>
      <c r="D1582">
        <v>2</v>
      </c>
    </row>
    <row r="1583" spans="1:4" x14ac:dyDescent="0.45">
      <c r="A1583" s="29">
        <v>45841</v>
      </c>
      <c r="B1583" s="13">
        <v>7290005425196</v>
      </c>
      <c r="C1583" t="s">
        <v>22</v>
      </c>
      <c r="D1583">
        <v>1</v>
      </c>
    </row>
    <row r="1584" spans="1:4" x14ac:dyDescent="0.45">
      <c r="A1584" s="29">
        <v>45841</v>
      </c>
      <c r="B1584" s="13">
        <v>7290012116025</v>
      </c>
      <c r="C1584" t="s">
        <v>22</v>
      </c>
      <c r="D1584">
        <v>3</v>
      </c>
    </row>
    <row r="1585" spans="1:4" x14ac:dyDescent="0.45">
      <c r="A1585" s="29">
        <v>45841</v>
      </c>
      <c r="B1585" s="13">
        <v>7290012117534</v>
      </c>
      <c r="C1585" t="s">
        <v>22</v>
      </c>
      <c r="D1585">
        <v>2</v>
      </c>
    </row>
    <row r="1586" spans="1:4" x14ac:dyDescent="0.45">
      <c r="A1586" s="29">
        <v>45841</v>
      </c>
      <c r="B1586" s="13">
        <v>7290013268204</v>
      </c>
      <c r="C1586" t="s">
        <v>22</v>
      </c>
      <c r="D1586">
        <v>2</v>
      </c>
    </row>
    <row r="1587" spans="1:4" x14ac:dyDescent="0.45">
      <c r="A1587" s="29">
        <v>45841</v>
      </c>
      <c r="B1587" s="13">
        <v>7290013268891</v>
      </c>
      <c r="C1587" t="s">
        <v>22</v>
      </c>
      <c r="D1587">
        <v>1</v>
      </c>
    </row>
    <row r="1588" spans="1:4" x14ac:dyDescent="0.45">
      <c r="A1588" s="29">
        <v>45841</v>
      </c>
      <c r="B1588" s="13">
        <v>7290013269003</v>
      </c>
      <c r="C1588" t="s">
        <v>22</v>
      </c>
      <c r="D1588">
        <v>1</v>
      </c>
    </row>
    <row r="1589" spans="1:4" x14ac:dyDescent="0.45">
      <c r="A1589" s="29">
        <v>45841</v>
      </c>
      <c r="B1589" s="13">
        <v>7290014397453</v>
      </c>
      <c r="C1589" t="s">
        <v>22</v>
      </c>
      <c r="D1589">
        <v>1</v>
      </c>
    </row>
    <row r="1590" spans="1:4" x14ac:dyDescent="0.45">
      <c r="A1590" s="29">
        <v>45841</v>
      </c>
      <c r="B1590" s="13">
        <v>7290019274483</v>
      </c>
      <c r="C1590" t="s">
        <v>22</v>
      </c>
      <c r="D1590">
        <v>1</v>
      </c>
    </row>
    <row r="1591" spans="1:4" x14ac:dyDescent="0.45">
      <c r="A1591" s="29">
        <v>45841</v>
      </c>
      <c r="B1591" s="13">
        <v>7290019274490</v>
      </c>
      <c r="C1591" t="s">
        <v>22</v>
      </c>
      <c r="D1591">
        <v>1</v>
      </c>
    </row>
    <row r="1592" spans="1:4" x14ac:dyDescent="0.45">
      <c r="A1592" s="29">
        <v>45841</v>
      </c>
      <c r="B1592" s="13">
        <v>7290019611325</v>
      </c>
      <c r="C1592" t="s">
        <v>22</v>
      </c>
      <c r="D1592">
        <v>1</v>
      </c>
    </row>
    <row r="1593" spans="1:4" x14ac:dyDescent="0.45">
      <c r="A1593" s="29">
        <v>45841</v>
      </c>
      <c r="B1593" s="13">
        <v>7290103702489</v>
      </c>
      <c r="C1593" t="s">
        <v>22</v>
      </c>
      <c r="D1593">
        <v>4</v>
      </c>
    </row>
    <row r="1594" spans="1:4" x14ac:dyDescent="0.45">
      <c r="A1594" s="29">
        <v>45841</v>
      </c>
      <c r="B1594" s="13">
        <v>7290103703370</v>
      </c>
      <c r="C1594" t="s">
        <v>22</v>
      </c>
      <c r="D1594">
        <v>5</v>
      </c>
    </row>
    <row r="1595" spans="1:4" x14ac:dyDescent="0.45">
      <c r="A1595" s="29">
        <v>45841</v>
      </c>
      <c r="B1595" s="13">
        <v>7290103704155</v>
      </c>
      <c r="C1595" t="s">
        <v>22</v>
      </c>
      <c r="D1595">
        <v>4</v>
      </c>
    </row>
    <row r="1596" spans="1:4" x14ac:dyDescent="0.45">
      <c r="A1596" s="29">
        <v>45841</v>
      </c>
      <c r="B1596" s="13">
        <v>7290103704179</v>
      </c>
      <c r="C1596" t="s">
        <v>22</v>
      </c>
      <c r="D1596">
        <v>5</v>
      </c>
    </row>
    <row r="1597" spans="1:4" x14ac:dyDescent="0.45">
      <c r="A1597" s="29">
        <v>45841</v>
      </c>
      <c r="B1597" s="13">
        <v>7290103704919</v>
      </c>
      <c r="C1597" t="s">
        <v>22</v>
      </c>
      <c r="D1597">
        <v>5</v>
      </c>
    </row>
    <row r="1598" spans="1:4" x14ac:dyDescent="0.45">
      <c r="A1598" s="29">
        <v>45841</v>
      </c>
      <c r="B1598" s="13">
        <v>7290107280099</v>
      </c>
      <c r="C1598" t="s">
        <v>22</v>
      </c>
      <c r="D1598">
        <v>0</v>
      </c>
    </row>
    <row r="1599" spans="1:4" x14ac:dyDescent="0.45">
      <c r="A1599" s="29">
        <v>45841</v>
      </c>
      <c r="B1599" s="13">
        <v>7290108351699</v>
      </c>
      <c r="C1599" t="s">
        <v>22</v>
      </c>
      <c r="D1599">
        <v>3</v>
      </c>
    </row>
    <row r="1600" spans="1:4" x14ac:dyDescent="0.45">
      <c r="A1600" s="29">
        <v>45841</v>
      </c>
      <c r="B1600" s="13">
        <v>7290108352702</v>
      </c>
      <c r="C1600" t="s">
        <v>22</v>
      </c>
      <c r="D1600">
        <v>0</v>
      </c>
    </row>
    <row r="1601" spans="1:4" x14ac:dyDescent="0.45">
      <c r="A1601" s="29">
        <v>45841</v>
      </c>
      <c r="B1601" s="13">
        <v>7290108356298</v>
      </c>
      <c r="C1601" t="s">
        <v>22</v>
      </c>
      <c r="D1601">
        <v>1</v>
      </c>
    </row>
    <row r="1602" spans="1:4" x14ac:dyDescent="0.45">
      <c r="A1602" s="29">
        <v>45841</v>
      </c>
      <c r="B1602" s="13">
        <v>7290108356700</v>
      </c>
      <c r="C1602" t="s">
        <v>22</v>
      </c>
      <c r="D1602">
        <v>2</v>
      </c>
    </row>
    <row r="1603" spans="1:4" x14ac:dyDescent="0.45">
      <c r="A1603" s="29">
        <v>45841</v>
      </c>
      <c r="B1603" s="13">
        <v>7290108356717</v>
      </c>
      <c r="C1603" t="s">
        <v>22</v>
      </c>
      <c r="D1603">
        <v>1</v>
      </c>
    </row>
    <row r="1604" spans="1:4" x14ac:dyDescent="0.45">
      <c r="A1604" s="29">
        <v>45841</v>
      </c>
      <c r="B1604" s="13">
        <v>7290108356724</v>
      </c>
      <c r="C1604" t="s">
        <v>22</v>
      </c>
      <c r="D1604">
        <v>2</v>
      </c>
    </row>
    <row r="1605" spans="1:4" x14ac:dyDescent="0.45">
      <c r="A1605" s="29">
        <v>45841</v>
      </c>
      <c r="B1605" s="13">
        <v>7290108357240</v>
      </c>
      <c r="C1605" t="s">
        <v>22</v>
      </c>
      <c r="D1605">
        <v>1</v>
      </c>
    </row>
    <row r="1606" spans="1:4" x14ac:dyDescent="0.45">
      <c r="A1606" s="29">
        <v>45841</v>
      </c>
      <c r="B1606" s="13">
        <v>7290108357288</v>
      </c>
      <c r="C1606" t="s">
        <v>22</v>
      </c>
      <c r="D1606">
        <v>5</v>
      </c>
    </row>
    <row r="1607" spans="1:4" x14ac:dyDescent="0.45">
      <c r="A1607" s="29">
        <v>45841</v>
      </c>
      <c r="B1607" s="13">
        <v>7290108357844</v>
      </c>
      <c r="C1607" t="s">
        <v>22</v>
      </c>
      <c r="D1607">
        <v>2</v>
      </c>
    </row>
    <row r="1608" spans="1:4" x14ac:dyDescent="0.45">
      <c r="A1608" s="29">
        <v>45841</v>
      </c>
      <c r="B1608" s="13">
        <v>7290108359077</v>
      </c>
      <c r="C1608" t="s">
        <v>22</v>
      </c>
      <c r="D1608">
        <v>2</v>
      </c>
    </row>
    <row r="1609" spans="1:4" x14ac:dyDescent="0.45">
      <c r="A1609" s="29">
        <v>45841</v>
      </c>
      <c r="B1609" s="13">
        <v>7290108359176</v>
      </c>
      <c r="C1609" t="s">
        <v>22</v>
      </c>
      <c r="D1609">
        <v>2</v>
      </c>
    </row>
    <row r="1610" spans="1:4" x14ac:dyDescent="0.45">
      <c r="A1610" s="29">
        <v>45841</v>
      </c>
      <c r="B1610" s="13">
        <v>7290108359190</v>
      </c>
      <c r="C1610" t="s">
        <v>22</v>
      </c>
      <c r="D1610">
        <v>0</v>
      </c>
    </row>
    <row r="1611" spans="1:4" x14ac:dyDescent="0.45">
      <c r="A1611" s="29">
        <v>45841</v>
      </c>
      <c r="B1611" s="13">
        <v>8001090184375</v>
      </c>
      <c r="C1611" t="s">
        <v>22</v>
      </c>
      <c r="D1611">
        <v>2</v>
      </c>
    </row>
    <row r="1612" spans="1:4" x14ac:dyDescent="0.45">
      <c r="A1612" s="29">
        <v>45841</v>
      </c>
      <c r="B1612" s="13">
        <v>8001090184412</v>
      </c>
      <c r="C1612" t="s">
        <v>22</v>
      </c>
      <c r="D1612">
        <v>4</v>
      </c>
    </row>
    <row r="1613" spans="1:4" x14ac:dyDescent="0.45">
      <c r="A1613" s="29">
        <v>45841</v>
      </c>
      <c r="B1613" s="13">
        <v>8001841625362</v>
      </c>
      <c r="C1613" t="s">
        <v>22</v>
      </c>
      <c r="D1613">
        <v>2</v>
      </c>
    </row>
    <row r="1614" spans="1:4" x14ac:dyDescent="0.45">
      <c r="A1614" s="29">
        <v>45841</v>
      </c>
      <c r="B1614" s="13">
        <v>8001841893990</v>
      </c>
      <c r="C1614" t="s">
        <v>22</v>
      </c>
      <c r="D1614">
        <v>0</v>
      </c>
    </row>
    <row r="1615" spans="1:4" x14ac:dyDescent="0.45">
      <c r="A1615" s="29">
        <v>45841</v>
      </c>
      <c r="B1615" s="13">
        <v>8006540429327</v>
      </c>
      <c r="C1615" t="s">
        <v>22</v>
      </c>
      <c r="D1615">
        <v>5</v>
      </c>
    </row>
    <row r="1616" spans="1:4" x14ac:dyDescent="0.45">
      <c r="A1616" s="29">
        <v>45841</v>
      </c>
      <c r="B1616" s="13">
        <v>8700216163811</v>
      </c>
      <c r="C1616" t="s">
        <v>22</v>
      </c>
      <c r="D1616">
        <v>4</v>
      </c>
    </row>
    <row r="1617" spans="1:4" x14ac:dyDescent="0.45">
      <c r="A1617" s="29">
        <v>45841</v>
      </c>
      <c r="B1617" s="13">
        <v>8700216236034</v>
      </c>
      <c r="C1617" t="s">
        <v>22</v>
      </c>
      <c r="D1617">
        <v>1</v>
      </c>
    </row>
    <row r="1618" spans="1:4" x14ac:dyDescent="0.45">
      <c r="A1618" s="29">
        <v>45841</v>
      </c>
      <c r="B1618" s="13">
        <v>8700216236751</v>
      </c>
      <c r="C1618" t="s">
        <v>22</v>
      </c>
      <c r="D1618">
        <v>2</v>
      </c>
    </row>
    <row r="1619" spans="1:4" x14ac:dyDescent="0.45">
      <c r="A1619" s="29">
        <v>45842</v>
      </c>
      <c r="B1619" s="13">
        <v>4084500088917</v>
      </c>
      <c r="C1619" t="s">
        <v>22</v>
      </c>
      <c r="D1619">
        <v>8</v>
      </c>
    </row>
    <row r="1620" spans="1:4" x14ac:dyDescent="0.45">
      <c r="A1620" s="29">
        <v>45842</v>
      </c>
      <c r="B1620" s="13">
        <v>4084500853836</v>
      </c>
      <c r="C1620" t="s">
        <v>22</v>
      </c>
      <c r="D1620">
        <v>8</v>
      </c>
    </row>
    <row r="1621" spans="1:4" x14ac:dyDescent="0.45">
      <c r="A1621" s="29">
        <v>45842</v>
      </c>
      <c r="B1621" s="13">
        <v>7290000286921</v>
      </c>
      <c r="C1621" t="s">
        <v>22</v>
      </c>
      <c r="D1621">
        <v>4</v>
      </c>
    </row>
    <row r="1622" spans="1:4" x14ac:dyDescent="0.45">
      <c r="A1622" s="29">
        <v>45842</v>
      </c>
      <c r="B1622" s="13">
        <v>7290000288024</v>
      </c>
      <c r="C1622" t="s">
        <v>22</v>
      </c>
      <c r="D1622">
        <v>10</v>
      </c>
    </row>
    <row r="1623" spans="1:4" x14ac:dyDescent="0.45">
      <c r="A1623" s="29">
        <v>45842</v>
      </c>
      <c r="B1623" s="13">
        <v>7290000288307</v>
      </c>
      <c r="C1623" t="s">
        <v>22</v>
      </c>
      <c r="D1623">
        <v>3</v>
      </c>
    </row>
    <row r="1624" spans="1:4" x14ac:dyDescent="0.45">
      <c r="A1624" s="29">
        <v>45842</v>
      </c>
      <c r="B1624" s="13">
        <v>7290000288659</v>
      </c>
      <c r="C1624" t="s">
        <v>22</v>
      </c>
      <c r="D1624">
        <v>3</v>
      </c>
    </row>
    <row r="1625" spans="1:4" x14ac:dyDescent="0.45">
      <c r="A1625" s="29">
        <v>45842</v>
      </c>
      <c r="B1625" s="13">
        <v>7290000292915</v>
      </c>
      <c r="C1625" t="s">
        <v>22</v>
      </c>
      <c r="D1625">
        <v>6</v>
      </c>
    </row>
    <row r="1626" spans="1:4" x14ac:dyDescent="0.45">
      <c r="A1626" s="29">
        <v>45842</v>
      </c>
      <c r="B1626" s="13">
        <v>7290000294780</v>
      </c>
      <c r="C1626" t="s">
        <v>22</v>
      </c>
      <c r="D1626">
        <v>8</v>
      </c>
    </row>
    <row r="1627" spans="1:4" x14ac:dyDescent="0.45">
      <c r="A1627" s="29">
        <v>45842</v>
      </c>
      <c r="B1627" s="13">
        <v>7290000295367</v>
      </c>
      <c r="C1627" t="s">
        <v>22</v>
      </c>
      <c r="D1627">
        <v>2</v>
      </c>
    </row>
    <row r="1628" spans="1:4" x14ac:dyDescent="0.45">
      <c r="A1628" s="29">
        <v>45842</v>
      </c>
      <c r="B1628" s="13">
        <v>7290000295541</v>
      </c>
      <c r="C1628" t="s">
        <v>22</v>
      </c>
      <c r="D1628">
        <v>3</v>
      </c>
    </row>
    <row r="1629" spans="1:4" x14ac:dyDescent="0.45">
      <c r="A1629" s="29">
        <v>45842</v>
      </c>
      <c r="B1629" s="13">
        <v>7290001246610</v>
      </c>
      <c r="C1629" t="s">
        <v>22</v>
      </c>
      <c r="D1629">
        <v>2</v>
      </c>
    </row>
    <row r="1630" spans="1:4" x14ac:dyDescent="0.45">
      <c r="A1630" s="29">
        <v>45842</v>
      </c>
      <c r="B1630" s="13">
        <v>7290005424700</v>
      </c>
      <c r="C1630" t="s">
        <v>22</v>
      </c>
      <c r="D1630">
        <v>6</v>
      </c>
    </row>
    <row r="1631" spans="1:4" x14ac:dyDescent="0.45">
      <c r="A1631" s="29">
        <v>45842</v>
      </c>
      <c r="B1631" s="13">
        <v>7290005425110</v>
      </c>
      <c r="C1631" t="s">
        <v>22</v>
      </c>
      <c r="D1631">
        <v>2</v>
      </c>
    </row>
    <row r="1632" spans="1:4" x14ac:dyDescent="0.45">
      <c r="A1632" s="29">
        <v>45842</v>
      </c>
      <c r="B1632" s="13">
        <v>7290005425196</v>
      </c>
      <c r="C1632" t="s">
        <v>22</v>
      </c>
      <c r="D1632">
        <v>4</v>
      </c>
    </row>
    <row r="1633" spans="1:4" x14ac:dyDescent="0.45">
      <c r="A1633" s="29">
        <v>45842</v>
      </c>
      <c r="B1633" s="13">
        <v>7290012116025</v>
      </c>
      <c r="C1633" t="s">
        <v>22</v>
      </c>
      <c r="D1633">
        <v>2</v>
      </c>
    </row>
    <row r="1634" spans="1:4" x14ac:dyDescent="0.45">
      <c r="A1634" s="29">
        <v>45842</v>
      </c>
      <c r="B1634" s="13">
        <v>7290012117534</v>
      </c>
      <c r="C1634" t="s">
        <v>22</v>
      </c>
      <c r="D1634">
        <v>2</v>
      </c>
    </row>
    <row r="1635" spans="1:4" x14ac:dyDescent="0.45">
      <c r="A1635" s="29">
        <v>45842</v>
      </c>
      <c r="B1635" s="13">
        <v>7290013268204</v>
      </c>
      <c r="C1635" t="s">
        <v>22</v>
      </c>
      <c r="D1635">
        <v>2</v>
      </c>
    </row>
    <row r="1636" spans="1:4" x14ac:dyDescent="0.45">
      <c r="A1636" s="29">
        <v>45842</v>
      </c>
      <c r="B1636" s="13">
        <v>7290013268891</v>
      </c>
      <c r="C1636" t="s">
        <v>22</v>
      </c>
      <c r="D1636">
        <v>2</v>
      </c>
    </row>
    <row r="1637" spans="1:4" x14ac:dyDescent="0.45">
      <c r="A1637" s="29">
        <v>45842</v>
      </c>
      <c r="B1637" s="13">
        <v>7290013269003</v>
      </c>
      <c r="C1637" t="s">
        <v>22</v>
      </c>
      <c r="D1637">
        <v>2</v>
      </c>
    </row>
    <row r="1638" spans="1:4" x14ac:dyDescent="0.45">
      <c r="A1638" s="29">
        <v>45842</v>
      </c>
      <c r="B1638" s="13">
        <v>7290014397453</v>
      </c>
      <c r="C1638" t="s">
        <v>22</v>
      </c>
      <c r="D1638">
        <v>4</v>
      </c>
    </row>
    <row r="1639" spans="1:4" x14ac:dyDescent="0.45">
      <c r="A1639" s="29">
        <v>45842</v>
      </c>
      <c r="B1639" s="13">
        <v>7290019274483</v>
      </c>
      <c r="C1639" t="s">
        <v>22</v>
      </c>
      <c r="D1639">
        <v>2</v>
      </c>
    </row>
    <row r="1640" spans="1:4" x14ac:dyDescent="0.45">
      <c r="A1640" s="29">
        <v>45842</v>
      </c>
      <c r="B1640" s="13">
        <v>7290019274490</v>
      </c>
      <c r="C1640" t="s">
        <v>22</v>
      </c>
      <c r="D1640">
        <v>4</v>
      </c>
    </row>
    <row r="1641" spans="1:4" x14ac:dyDescent="0.45">
      <c r="A1641" s="29">
        <v>45842</v>
      </c>
      <c r="B1641" s="13">
        <v>7290019611325</v>
      </c>
      <c r="C1641" t="s">
        <v>22</v>
      </c>
      <c r="D1641">
        <v>4</v>
      </c>
    </row>
    <row r="1642" spans="1:4" x14ac:dyDescent="0.45">
      <c r="A1642" s="29">
        <v>45842</v>
      </c>
      <c r="B1642" s="13">
        <v>7290103702489</v>
      </c>
      <c r="C1642" t="s">
        <v>22</v>
      </c>
      <c r="D1642">
        <v>8</v>
      </c>
    </row>
    <row r="1643" spans="1:4" x14ac:dyDescent="0.45">
      <c r="A1643" s="29">
        <v>45842</v>
      </c>
      <c r="B1643" s="13">
        <v>7290103703370</v>
      </c>
      <c r="C1643" t="s">
        <v>22</v>
      </c>
      <c r="D1643">
        <v>10</v>
      </c>
    </row>
    <row r="1644" spans="1:4" x14ac:dyDescent="0.45">
      <c r="A1644" s="29">
        <v>45842</v>
      </c>
      <c r="B1644" s="13">
        <v>7290103704155</v>
      </c>
      <c r="C1644" t="s">
        <v>22</v>
      </c>
      <c r="D1644">
        <v>8</v>
      </c>
    </row>
    <row r="1645" spans="1:4" x14ac:dyDescent="0.45">
      <c r="A1645" s="29">
        <v>45842</v>
      </c>
      <c r="B1645" s="13">
        <v>7290103704179</v>
      </c>
      <c r="C1645" t="s">
        <v>22</v>
      </c>
      <c r="D1645">
        <v>8</v>
      </c>
    </row>
    <row r="1646" spans="1:4" x14ac:dyDescent="0.45">
      <c r="A1646" s="29">
        <v>45842</v>
      </c>
      <c r="B1646" s="13">
        <v>7290103704919</v>
      </c>
      <c r="C1646" t="s">
        <v>22</v>
      </c>
      <c r="D1646">
        <v>8</v>
      </c>
    </row>
    <row r="1647" spans="1:4" x14ac:dyDescent="0.45">
      <c r="A1647" s="29">
        <v>45842</v>
      </c>
      <c r="B1647" s="13">
        <v>7290107280099</v>
      </c>
      <c r="C1647" t="s">
        <v>22</v>
      </c>
      <c r="D1647">
        <v>3</v>
      </c>
    </row>
    <row r="1648" spans="1:4" x14ac:dyDescent="0.45">
      <c r="A1648" s="29">
        <v>45842</v>
      </c>
      <c r="B1648" s="13">
        <v>7290108351699</v>
      </c>
      <c r="C1648" t="s">
        <v>22</v>
      </c>
      <c r="D1648">
        <v>2</v>
      </c>
    </row>
    <row r="1649" spans="1:4" x14ac:dyDescent="0.45">
      <c r="A1649" s="29">
        <v>45842</v>
      </c>
      <c r="B1649" s="13">
        <v>7290108352702</v>
      </c>
      <c r="C1649" t="s">
        <v>22</v>
      </c>
      <c r="D1649">
        <v>2</v>
      </c>
    </row>
    <row r="1650" spans="1:4" x14ac:dyDescent="0.45">
      <c r="A1650" s="29">
        <v>45842</v>
      </c>
      <c r="B1650" s="13">
        <v>7290108356298</v>
      </c>
      <c r="C1650" t="s">
        <v>22</v>
      </c>
      <c r="D1650">
        <v>4</v>
      </c>
    </row>
    <row r="1651" spans="1:4" x14ac:dyDescent="0.45">
      <c r="A1651" s="29">
        <v>45842</v>
      </c>
      <c r="B1651" s="13">
        <v>7290108356700</v>
      </c>
      <c r="C1651" t="s">
        <v>22</v>
      </c>
      <c r="D1651">
        <v>3</v>
      </c>
    </row>
    <row r="1652" spans="1:4" x14ac:dyDescent="0.45">
      <c r="A1652" s="29">
        <v>45842</v>
      </c>
      <c r="B1652" s="13">
        <v>7290108356717</v>
      </c>
      <c r="C1652" t="s">
        <v>22</v>
      </c>
      <c r="D1652">
        <v>2</v>
      </c>
    </row>
    <row r="1653" spans="1:4" x14ac:dyDescent="0.45">
      <c r="A1653" s="29">
        <v>45842</v>
      </c>
      <c r="B1653" s="13">
        <v>7290108356724</v>
      </c>
      <c r="C1653" t="s">
        <v>22</v>
      </c>
      <c r="D1653">
        <v>6</v>
      </c>
    </row>
    <row r="1654" spans="1:4" x14ac:dyDescent="0.45">
      <c r="A1654" s="29">
        <v>45842</v>
      </c>
      <c r="B1654" s="13">
        <v>7290108357240</v>
      </c>
      <c r="C1654" t="s">
        <v>22</v>
      </c>
      <c r="D1654">
        <v>2</v>
      </c>
    </row>
    <row r="1655" spans="1:4" x14ac:dyDescent="0.45">
      <c r="A1655" s="29">
        <v>45842</v>
      </c>
      <c r="B1655" s="13">
        <v>7290108357288</v>
      </c>
      <c r="C1655" t="s">
        <v>22</v>
      </c>
      <c r="D1655">
        <v>8</v>
      </c>
    </row>
    <row r="1656" spans="1:4" x14ac:dyDescent="0.45">
      <c r="A1656" s="29">
        <v>45842</v>
      </c>
      <c r="B1656" s="13">
        <v>7290108357844</v>
      </c>
      <c r="C1656" t="s">
        <v>22</v>
      </c>
      <c r="D1656">
        <v>2</v>
      </c>
    </row>
    <row r="1657" spans="1:4" x14ac:dyDescent="0.45">
      <c r="A1657" s="29">
        <v>45842</v>
      </c>
      <c r="B1657" s="13">
        <v>7290108359077</v>
      </c>
      <c r="C1657" t="s">
        <v>22</v>
      </c>
      <c r="D1657">
        <v>3</v>
      </c>
    </row>
    <row r="1658" spans="1:4" x14ac:dyDescent="0.45">
      <c r="A1658" s="29">
        <v>45842</v>
      </c>
      <c r="B1658" s="13">
        <v>7290108359176</v>
      </c>
      <c r="C1658" t="s">
        <v>22</v>
      </c>
      <c r="D1658">
        <v>3</v>
      </c>
    </row>
    <row r="1659" spans="1:4" x14ac:dyDescent="0.45">
      <c r="A1659" s="29">
        <v>45842</v>
      </c>
      <c r="B1659" s="13">
        <v>7290108359190</v>
      </c>
      <c r="C1659" t="s">
        <v>22</v>
      </c>
      <c r="D1659">
        <v>3</v>
      </c>
    </row>
    <row r="1660" spans="1:4" x14ac:dyDescent="0.45">
      <c r="A1660" s="29">
        <v>45842</v>
      </c>
      <c r="B1660" s="13">
        <v>8001090184375</v>
      </c>
      <c r="C1660" t="s">
        <v>22</v>
      </c>
      <c r="D1660">
        <v>2</v>
      </c>
    </row>
    <row r="1661" spans="1:4" x14ac:dyDescent="0.45">
      <c r="A1661" s="29">
        <v>45842</v>
      </c>
      <c r="B1661" s="13">
        <v>8001090184412</v>
      </c>
      <c r="C1661" t="s">
        <v>22</v>
      </c>
      <c r="D1661">
        <v>10</v>
      </c>
    </row>
    <row r="1662" spans="1:4" x14ac:dyDescent="0.45">
      <c r="A1662" s="29">
        <v>45842</v>
      </c>
      <c r="B1662" s="13">
        <v>8001841625362</v>
      </c>
      <c r="C1662" t="s">
        <v>22</v>
      </c>
      <c r="D1662">
        <v>4</v>
      </c>
    </row>
    <row r="1663" spans="1:4" x14ac:dyDescent="0.45">
      <c r="A1663" s="29">
        <v>45842</v>
      </c>
      <c r="B1663" s="13">
        <v>8001841893990</v>
      </c>
      <c r="C1663" t="s">
        <v>22</v>
      </c>
      <c r="D1663">
        <v>2</v>
      </c>
    </row>
    <row r="1664" spans="1:4" x14ac:dyDescent="0.45">
      <c r="A1664" s="29">
        <v>45842</v>
      </c>
      <c r="B1664" s="13">
        <v>8006540429327</v>
      </c>
      <c r="C1664" t="s">
        <v>22</v>
      </c>
      <c r="D1664">
        <v>10</v>
      </c>
    </row>
    <row r="1665" spans="1:4" x14ac:dyDescent="0.45">
      <c r="A1665" s="29">
        <v>45842</v>
      </c>
      <c r="B1665" s="13">
        <v>8700216163811</v>
      </c>
      <c r="C1665" t="s">
        <v>22</v>
      </c>
      <c r="D1665">
        <v>10</v>
      </c>
    </row>
    <row r="1666" spans="1:4" x14ac:dyDescent="0.45">
      <c r="A1666" s="29">
        <v>45842</v>
      </c>
      <c r="B1666" s="13">
        <v>8700216236034</v>
      </c>
      <c r="C1666" t="s">
        <v>22</v>
      </c>
      <c r="D1666">
        <v>3</v>
      </c>
    </row>
    <row r="1667" spans="1:4" x14ac:dyDescent="0.45">
      <c r="A1667" s="29">
        <v>45842</v>
      </c>
      <c r="B1667" s="13">
        <v>8700216236751</v>
      </c>
      <c r="C1667" t="s">
        <v>22</v>
      </c>
      <c r="D1667">
        <v>4</v>
      </c>
    </row>
    <row r="1668" spans="1:4" x14ac:dyDescent="0.45">
      <c r="A1668" s="29">
        <v>45843</v>
      </c>
      <c r="B1668" s="13">
        <v>4084500088917</v>
      </c>
      <c r="C1668" t="s">
        <v>22</v>
      </c>
      <c r="D1668">
        <v>8</v>
      </c>
    </row>
    <row r="1669" spans="1:4" x14ac:dyDescent="0.45">
      <c r="A1669" s="29">
        <v>45843</v>
      </c>
      <c r="B1669" s="13">
        <v>4084500853836</v>
      </c>
      <c r="C1669" t="s">
        <v>22</v>
      </c>
      <c r="D1669">
        <v>8</v>
      </c>
    </row>
    <row r="1670" spans="1:4" x14ac:dyDescent="0.45">
      <c r="A1670" s="29">
        <v>45843</v>
      </c>
      <c r="B1670" s="13">
        <v>7290000286921</v>
      </c>
      <c r="C1670" t="s">
        <v>22</v>
      </c>
      <c r="D1670">
        <v>3</v>
      </c>
    </row>
    <row r="1671" spans="1:4" x14ac:dyDescent="0.45">
      <c r="A1671" s="29">
        <v>45843</v>
      </c>
      <c r="B1671" s="13">
        <v>7290000288024</v>
      </c>
      <c r="C1671" t="s">
        <v>22</v>
      </c>
      <c r="D1671">
        <v>8</v>
      </c>
    </row>
    <row r="1672" spans="1:4" x14ac:dyDescent="0.45">
      <c r="A1672" s="29">
        <v>45843</v>
      </c>
      <c r="B1672" s="13">
        <v>7290000288307</v>
      </c>
      <c r="C1672" t="s">
        <v>22</v>
      </c>
      <c r="D1672">
        <v>3</v>
      </c>
    </row>
    <row r="1673" spans="1:4" x14ac:dyDescent="0.45">
      <c r="A1673" s="29">
        <v>45843</v>
      </c>
      <c r="B1673" s="13">
        <v>7290000288659</v>
      </c>
      <c r="C1673" t="s">
        <v>22</v>
      </c>
      <c r="D1673">
        <v>3</v>
      </c>
    </row>
    <row r="1674" spans="1:4" x14ac:dyDescent="0.45">
      <c r="A1674" s="29">
        <v>45843</v>
      </c>
      <c r="B1674" s="13">
        <v>7290000292915</v>
      </c>
      <c r="C1674" t="s">
        <v>22</v>
      </c>
      <c r="D1674">
        <v>6</v>
      </c>
    </row>
    <row r="1675" spans="1:4" x14ac:dyDescent="0.45">
      <c r="A1675" s="29">
        <v>45843</v>
      </c>
      <c r="B1675" s="13">
        <v>7290000294780</v>
      </c>
      <c r="C1675" t="s">
        <v>22</v>
      </c>
      <c r="D1675">
        <v>10</v>
      </c>
    </row>
    <row r="1676" spans="1:4" x14ac:dyDescent="0.45">
      <c r="A1676" s="29">
        <v>45843</v>
      </c>
      <c r="B1676" s="13">
        <v>7290000295367</v>
      </c>
      <c r="C1676" t="s">
        <v>22</v>
      </c>
      <c r="D1676">
        <v>4</v>
      </c>
    </row>
    <row r="1677" spans="1:4" x14ac:dyDescent="0.45">
      <c r="A1677" s="29">
        <v>45843</v>
      </c>
      <c r="B1677" s="13">
        <v>7290000295541</v>
      </c>
      <c r="C1677" t="s">
        <v>22</v>
      </c>
      <c r="D1677">
        <v>3</v>
      </c>
    </row>
    <row r="1678" spans="1:4" x14ac:dyDescent="0.45">
      <c r="A1678" s="29">
        <v>45843</v>
      </c>
      <c r="B1678" s="13">
        <v>7290001246610</v>
      </c>
      <c r="C1678" t="s">
        <v>22</v>
      </c>
      <c r="D1678">
        <v>4</v>
      </c>
    </row>
    <row r="1679" spans="1:4" x14ac:dyDescent="0.45">
      <c r="A1679" s="29">
        <v>45843</v>
      </c>
      <c r="B1679" s="13">
        <v>7290005424700</v>
      </c>
      <c r="C1679" t="s">
        <v>22</v>
      </c>
      <c r="D1679">
        <v>4</v>
      </c>
    </row>
    <row r="1680" spans="1:4" x14ac:dyDescent="0.45">
      <c r="A1680" s="29">
        <v>45843</v>
      </c>
      <c r="B1680" s="13">
        <v>7290005425110</v>
      </c>
      <c r="C1680" t="s">
        <v>22</v>
      </c>
      <c r="D1680">
        <v>6</v>
      </c>
    </row>
    <row r="1681" spans="1:4" x14ac:dyDescent="0.45">
      <c r="A1681" s="29">
        <v>45843</v>
      </c>
      <c r="B1681" s="13">
        <v>7290005425196</v>
      </c>
      <c r="C1681" t="s">
        <v>22</v>
      </c>
      <c r="D1681">
        <v>4</v>
      </c>
    </row>
    <row r="1682" spans="1:4" x14ac:dyDescent="0.45">
      <c r="A1682" s="29">
        <v>45843</v>
      </c>
      <c r="B1682" s="13">
        <v>7290012116025</v>
      </c>
      <c r="C1682" t="s">
        <v>22</v>
      </c>
      <c r="D1682">
        <v>6</v>
      </c>
    </row>
    <row r="1683" spans="1:4" x14ac:dyDescent="0.45">
      <c r="A1683" s="29">
        <v>45843</v>
      </c>
      <c r="B1683" s="13">
        <v>7290012117534</v>
      </c>
      <c r="C1683" t="s">
        <v>22</v>
      </c>
      <c r="D1683">
        <v>4</v>
      </c>
    </row>
    <row r="1684" spans="1:4" x14ac:dyDescent="0.45">
      <c r="A1684" s="29">
        <v>45843</v>
      </c>
      <c r="B1684" s="13">
        <v>7290013268204</v>
      </c>
      <c r="C1684" t="s">
        <v>22</v>
      </c>
      <c r="D1684">
        <v>3</v>
      </c>
    </row>
    <row r="1685" spans="1:4" x14ac:dyDescent="0.45">
      <c r="A1685" s="29">
        <v>45843</v>
      </c>
      <c r="B1685" s="13">
        <v>7290013268891</v>
      </c>
      <c r="C1685" t="s">
        <v>22</v>
      </c>
      <c r="D1685">
        <v>4</v>
      </c>
    </row>
    <row r="1686" spans="1:4" x14ac:dyDescent="0.45">
      <c r="A1686" s="29">
        <v>45843</v>
      </c>
      <c r="B1686" s="13">
        <v>7290013269003</v>
      </c>
      <c r="C1686" t="s">
        <v>22</v>
      </c>
      <c r="D1686">
        <v>6</v>
      </c>
    </row>
    <row r="1687" spans="1:4" x14ac:dyDescent="0.45">
      <c r="A1687" s="29">
        <v>45843</v>
      </c>
      <c r="B1687" s="13">
        <v>7290014397453</v>
      </c>
      <c r="C1687" t="s">
        <v>22</v>
      </c>
      <c r="D1687">
        <v>4</v>
      </c>
    </row>
    <row r="1688" spans="1:4" x14ac:dyDescent="0.45">
      <c r="A1688" s="29">
        <v>45843</v>
      </c>
      <c r="B1688" s="13">
        <v>7290019274483</v>
      </c>
      <c r="C1688" t="s">
        <v>22</v>
      </c>
      <c r="D1688">
        <v>6</v>
      </c>
    </row>
    <row r="1689" spans="1:4" x14ac:dyDescent="0.45">
      <c r="A1689" s="29">
        <v>45843</v>
      </c>
      <c r="B1689" s="13">
        <v>7290019274490</v>
      </c>
      <c r="C1689" t="s">
        <v>22</v>
      </c>
      <c r="D1689">
        <v>6</v>
      </c>
    </row>
    <row r="1690" spans="1:4" x14ac:dyDescent="0.45">
      <c r="A1690" s="29">
        <v>45843</v>
      </c>
      <c r="B1690" s="13">
        <v>7290019611325</v>
      </c>
      <c r="C1690" t="s">
        <v>22</v>
      </c>
      <c r="D1690">
        <v>4</v>
      </c>
    </row>
    <row r="1691" spans="1:4" x14ac:dyDescent="0.45">
      <c r="A1691" s="29">
        <v>45843</v>
      </c>
      <c r="B1691" s="13">
        <v>7290103702489</v>
      </c>
      <c r="C1691" t="s">
        <v>22</v>
      </c>
      <c r="D1691">
        <v>10</v>
      </c>
    </row>
    <row r="1692" spans="1:4" x14ac:dyDescent="0.45">
      <c r="A1692" s="29">
        <v>45843</v>
      </c>
      <c r="B1692" s="13">
        <v>7290103703370</v>
      </c>
      <c r="C1692" t="s">
        <v>22</v>
      </c>
      <c r="D1692">
        <v>8</v>
      </c>
    </row>
    <row r="1693" spans="1:4" x14ac:dyDescent="0.45">
      <c r="A1693" s="29">
        <v>45843</v>
      </c>
      <c r="B1693" s="13">
        <v>7290103704155</v>
      </c>
      <c r="C1693" t="s">
        <v>22</v>
      </c>
      <c r="D1693">
        <v>10</v>
      </c>
    </row>
    <row r="1694" spans="1:4" x14ac:dyDescent="0.45">
      <c r="A1694" s="29">
        <v>45843</v>
      </c>
      <c r="B1694" s="13">
        <v>7290103704179</v>
      </c>
      <c r="C1694" t="s">
        <v>22</v>
      </c>
      <c r="D1694">
        <v>10</v>
      </c>
    </row>
    <row r="1695" spans="1:4" x14ac:dyDescent="0.45">
      <c r="A1695" s="29">
        <v>45843</v>
      </c>
      <c r="B1695" s="13">
        <v>7290103704919</v>
      </c>
      <c r="C1695" t="s">
        <v>22</v>
      </c>
      <c r="D1695">
        <v>8</v>
      </c>
    </row>
    <row r="1696" spans="1:4" x14ac:dyDescent="0.45">
      <c r="A1696" s="29">
        <v>45843</v>
      </c>
      <c r="B1696" s="13">
        <v>7290107280099</v>
      </c>
      <c r="C1696" t="s">
        <v>22</v>
      </c>
      <c r="D1696">
        <v>2</v>
      </c>
    </row>
    <row r="1697" spans="1:4" x14ac:dyDescent="0.45">
      <c r="A1697" s="29">
        <v>45843</v>
      </c>
      <c r="B1697" s="13">
        <v>7290108351699</v>
      </c>
      <c r="C1697" t="s">
        <v>22</v>
      </c>
      <c r="D1697">
        <v>6</v>
      </c>
    </row>
    <row r="1698" spans="1:4" x14ac:dyDescent="0.45">
      <c r="A1698" s="29">
        <v>45843</v>
      </c>
      <c r="B1698" s="13">
        <v>7290108352702</v>
      </c>
      <c r="C1698" t="s">
        <v>22</v>
      </c>
      <c r="D1698">
        <v>3</v>
      </c>
    </row>
    <row r="1699" spans="1:4" x14ac:dyDescent="0.45">
      <c r="A1699" s="29">
        <v>45843</v>
      </c>
      <c r="B1699" s="13">
        <v>7290108356298</v>
      </c>
      <c r="C1699" t="s">
        <v>22</v>
      </c>
      <c r="D1699">
        <v>4</v>
      </c>
    </row>
    <row r="1700" spans="1:4" x14ac:dyDescent="0.45">
      <c r="A1700" s="29">
        <v>45843</v>
      </c>
      <c r="B1700" s="13">
        <v>7290108356700</v>
      </c>
      <c r="C1700" t="s">
        <v>22</v>
      </c>
      <c r="D1700">
        <v>2</v>
      </c>
    </row>
    <row r="1701" spans="1:4" x14ac:dyDescent="0.45">
      <c r="A1701" s="29">
        <v>45843</v>
      </c>
      <c r="B1701" s="13">
        <v>7290108356717</v>
      </c>
      <c r="C1701" t="s">
        <v>22</v>
      </c>
      <c r="D1701">
        <v>4</v>
      </c>
    </row>
    <row r="1702" spans="1:4" x14ac:dyDescent="0.45">
      <c r="A1702" s="29">
        <v>45843</v>
      </c>
      <c r="B1702" s="13">
        <v>7290108356724</v>
      </c>
      <c r="C1702" t="s">
        <v>22</v>
      </c>
      <c r="D1702">
        <v>2</v>
      </c>
    </row>
    <row r="1703" spans="1:4" x14ac:dyDescent="0.45">
      <c r="A1703" s="29">
        <v>45843</v>
      </c>
      <c r="B1703" s="13">
        <v>7290108357240</v>
      </c>
      <c r="C1703" t="s">
        <v>22</v>
      </c>
      <c r="D1703">
        <v>4</v>
      </c>
    </row>
    <row r="1704" spans="1:4" x14ac:dyDescent="0.45">
      <c r="A1704" s="29">
        <v>45843</v>
      </c>
      <c r="B1704" s="13">
        <v>7290108357288</v>
      </c>
      <c r="C1704" t="s">
        <v>22</v>
      </c>
      <c r="D1704">
        <v>10</v>
      </c>
    </row>
    <row r="1705" spans="1:4" x14ac:dyDescent="0.45">
      <c r="A1705" s="29">
        <v>45843</v>
      </c>
      <c r="B1705" s="13">
        <v>7290108357844</v>
      </c>
      <c r="C1705" t="s">
        <v>22</v>
      </c>
      <c r="D1705">
        <v>6</v>
      </c>
    </row>
    <row r="1706" spans="1:4" x14ac:dyDescent="0.45">
      <c r="A1706" s="29">
        <v>45843</v>
      </c>
      <c r="B1706" s="13">
        <v>7290108359077</v>
      </c>
      <c r="C1706" t="s">
        <v>22</v>
      </c>
      <c r="D1706">
        <v>3</v>
      </c>
    </row>
    <row r="1707" spans="1:4" x14ac:dyDescent="0.45">
      <c r="A1707" s="29">
        <v>45843</v>
      </c>
      <c r="B1707" s="13">
        <v>7290108359176</v>
      </c>
      <c r="C1707" t="s">
        <v>22</v>
      </c>
      <c r="D1707">
        <v>3</v>
      </c>
    </row>
    <row r="1708" spans="1:4" x14ac:dyDescent="0.45">
      <c r="A1708" s="29">
        <v>45843</v>
      </c>
      <c r="B1708" s="13">
        <v>7290108359190</v>
      </c>
      <c r="C1708" t="s">
        <v>22</v>
      </c>
      <c r="D1708">
        <v>2</v>
      </c>
    </row>
    <row r="1709" spans="1:4" x14ac:dyDescent="0.45">
      <c r="A1709" s="29">
        <v>45843</v>
      </c>
      <c r="B1709" s="13">
        <v>8001090184375</v>
      </c>
      <c r="C1709" t="s">
        <v>22</v>
      </c>
      <c r="D1709">
        <v>2</v>
      </c>
    </row>
    <row r="1710" spans="1:4" x14ac:dyDescent="0.45">
      <c r="A1710" s="29">
        <v>45843</v>
      </c>
      <c r="B1710" s="13">
        <v>8001090184412</v>
      </c>
      <c r="C1710" t="s">
        <v>22</v>
      </c>
      <c r="D1710">
        <v>8</v>
      </c>
    </row>
    <row r="1711" spans="1:4" x14ac:dyDescent="0.45">
      <c r="A1711" s="29">
        <v>45843</v>
      </c>
      <c r="B1711" s="13">
        <v>8001841625362</v>
      </c>
      <c r="C1711" t="s">
        <v>22</v>
      </c>
      <c r="D1711">
        <v>6</v>
      </c>
    </row>
    <row r="1712" spans="1:4" x14ac:dyDescent="0.45">
      <c r="A1712" s="29">
        <v>45843</v>
      </c>
      <c r="B1712" s="13">
        <v>8001841893990</v>
      </c>
      <c r="C1712" t="s">
        <v>22</v>
      </c>
      <c r="D1712">
        <v>2</v>
      </c>
    </row>
    <row r="1713" spans="1:4" x14ac:dyDescent="0.45">
      <c r="A1713" s="29">
        <v>45843</v>
      </c>
      <c r="B1713" s="13">
        <v>8006540429327</v>
      </c>
      <c r="C1713" t="s">
        <v>22</v>
      </c>
      <c r="D1713">
        <v>10</v>
      </c>
    </row>
    <row r="1714" spans="1:4" x14ac:dyDescent="0.45">
      <c r="A1714" s="29">
        <v>45843</v>
      </c>
      <c r="B1714" s="13">
        <v>8700216163811</v>
      </c>
      <c r="C1714" t="s">
        <v>22</v>
      </c>
      <c r="D1714">
        <v>10</v>
      </c>
    </row>
    <row r="1715" spans="1:4" x14ac:dyDescent="0.45">
      <c r="A1715" s="29">
        <v>45843</v>
      </c>
      <c r="B1715" s="13">
        <v>8700216236034</v>
      </c>
      <c r="C1715" t="s">
        <v>22</v>
      </c>
      <c r="D1715">
        <v>4</v>
      </c>
    </row>
    <row r="1716" spans="1:4" x14ac:dyDescent="0.45">
      <c r="A1716" s="29">
        <v>45843</v>
      </c>
      <c r="B1716" s="13">
        <v>8700216236751</v>
      </c>
      <c r="C1716" t="s">
        <v>22</v>
      </c>
      <c r="D1716">
        <v>4</v>
      </c>
    </row>
    <row r="1717" spans="1:4" x14ac:dyDescent="0.45">
      <c r="A1717" s="29">
        <v>45844</v>
      </c>
      <c r="B1717" s="13">
        <v>4084500088917</v>
      </c>
      <c r="C1717" t="s">
        <v>22</v>
      </c>
      <c r="D1717">
        <v>6</v>
      </c>
    </row>
    <row r="1718" spans="1:4" x14ac:dyDescent="0.45">
      <c r="A1718" s="29">
        <v>45844</v>
      </c>
      <c r="B1718" s="13">
        <v>4084500853836</v>
      </c>
      <c r="C1718" t="s">
        <v>22</v>
      </c>
      <c r="D1718">
        <v>6</v>
      </c>
    </row>
    <row r="1719" spans="1:4" x14ac:dyDescent="0.45">
      <c r="A1719" s="29">
        <v>45844</v>
      </c>
      <c r="B1719" s="13">
        <v>7290000286921</v>
      </c>
      <c r="C1719" t="s">
        <v>22</v>
      </c>
      <c r="D1719">
        <v>0</v>
      </c>
    </row>
    <row r="1720" spans="1:4" x14ac:dyDescent="0.45">
      <c r="A1720" s="29">
        <v>45844</v>
      </c>
      <c r="B1720" s="13">
        <v>7290000288024</v>
      </c>
      <c r="C1720" t="s">
        <v>22</v>
      </c>
      <c r="D1720">
        <v>8</v>
      </c>
    </row>
    <row r="1721" spans="1:4" x14ac:dyDescent="0.45">
      <c r="A1721" s="29">
        <v>45844</v>
      </c>
      <c r="B1721" s="13">
        <v>7290000288307</v>
      </c>
      <c r="C1721" t="s">
        <v>22</v>
      </c>
      <c r="D1721">
        <v>1</v>
      </c>
    </row>
    <row r="1722" spans="1:4" x14ac:dyDescent="0.45">
      <c r="A1722" s="29">
        <v>45844</v>
      </c>
      <c r="B1722" s="13">
        <v>7290000288659</v>
      </c>
      <c r="C1722" t="s">
        <v>22</v>
      </c>
      <c r="D1722">
        <v>1</v>
      </c>
    </row>
    <row r="1723" spans="1:4" x14ac:dyDescent="0.45">
      <c r="A1723" s="29">
        <v>45844</v>
      </c>
      <c r="B1723" s="13">
        <v>7290000292915</v>
      </c>
      <c r="C1723" t="s">
        <v>22</v>
      </c>
      <c r="D1723">
        <v>3</v>
      </c>
    </row>
    <row r="1724" spans="1:4" x14ac:dyDescent="0.45">
      <c r="A1724" s="29">
        <v>45844</v>
      </c>
      <c r="B1724" s="13">
        <v>7290000294780</v>
      </c>
      <c r="C1724" t="s">
        <v>22</v>
      </c>
      <c r="D1724">
        <v>8</v>
      </c>
    </row>
    <row r="1725" spans="1:4" x14ac:dyDescent="0.45">
      <c r="A1725" s="29">
        <v>45844</v>
      </c>
      <c r="B1725" s="13">
        <v>7290000295367</v>
      </c>
      <c r="C1725" t="s">
        <v>22</v>
      </c>
      <c r="D1725">
        <v>1</v>
      </c>
    </row>
    <row r="1726" spans="1:4" x14ac:dyDescent="0.45">
      <c r="A1726" s="29">
        <v>45844</v>
      </c>
      <c r="B1726" s="13">
        <v>7290000295541</v>
      </c>
      <c r="C1726" t="s">
        <v>22</v>
      </c>
      <c r="D1726">
        <v>1</v>
      </c>
    </row>
    <row r="1727" spans="1:4" x14ac:dyDescent="0.45">
      <c r="A1727" s="29">
        <v>45844</v>
      </c>
      <c r="B1727" s="13">
        <v>7290001246610</v>
      </c>
      <c r="C1727" t="s">
        <v>22</v>
      </c>
      <c r="D1727">
        <v>2</v>
      </c>
    </row>
    <row r="1728" spans="1:4" x14ac:dyDescent="0.45">
      <c r="A1728" s="29">
        <v>45844</v>
      </c>
      <c r="B1728" s="13">
        <v>7290005424700</v>
      </c>
      <c r="C1728" t="s">
        <v>22</v>
      </c>
      <c r="D1728">
        <v>3</v>
      </c>
    </row>
    <row r="1729" spans="1:4" x14ac:dyDescent="0.45">
      <c r="A1729" s="29">
        <v>45844</v>
      </c>
      <c r="B1729" s="13">
        <v>7290005425110</v>
      </c>
      <c r="C1729" t="s">
        <v>22</v>
      </c>
      <c r="D1729">
        <v>1</v>
      </c>
    </row>
    <row r="1730" spans="1:4" x14ac:dyDescent="0.45">
      <c r="A1730" s="29">
        <v>45844</v>
      </c>
      <c r="B1730" s="13">
        <v>7290005425196</v>
      </c>
      <c r="C1730" t="s">
        <v>22</v>
      </c>
      <c r="D1730">
        <v>2</v>
      </c>
    </row>
    <row r="1731" spans="1:4" x14ac:dyDescent="0.45">
      <c r="A1731" s="29">
        <v>45844</v>
      </c>
      <c r="B1731" s="13">
        <v>7290012116025</v>
      </c>
      <c r="C1731" t="s">
        <v>22</v>
      </c>
      <c r="D1731">
        <v>2</v>
      </c>
    </row>
    <row r="1732" spans="1:4" x14ac:dyDescent="0.45">
      <c r="A1732" s="29">
        <v>45844</v>
      </c>
      <c r="B1732" s="13">
        <v>7290012117534</v>
      </c>
      <c r="C1732" t="s">
        <v>22</v>
      </c>
      <c r="D1732">
        <v>2</v>
      </c>
    </row>
    <row r="1733" spans="1:4" x14ac:dyDescent="0.45">
      <c r="A1733" s="29">
        <v>45844</v>
      </c>
      <c r="B1733" s="13">
        <v>7290013268204</v>
      </c>
      <c r="C1733" t="s">
        <v>22</v>
      </c>
      <c r="D1733">
        <v>1</v>
      </c>
    </row>
    <row r="1734" spans="1:4" x14ac:dyDescent="0.45">
      <c r="A1734" s="29">
        <v>45844</v>
      </c>
      <c r="B1734" s="13">
        <v>7290013268891</v>
      </c>
      <c r="C1734" t="s">
        <v>22</v>
      </c>
      <c r="D1734">
        <v>2</v>
      </c>
    </row>
    <row r="1735" spans="1:4" x14ac:dyDescent="0.45">
      <c r="A1735" s="29">
        <v>45844</v>
      </c>
      <c r="B1735" s="13">
        <v>7290013269003</v>
      </c>
      <c r="C1735" t="s">
        <v>22</v>
      </c>
      <c r="D1735">
        <v>2</v>
      </c>
    </row>
    <row r="1736" spans="1:4" x14ac:dyDescent="0.45">
      <c r="A1736" s="29">
        <v>45844</v>
      </c>
      <c r="B1736" s="13">
        <v>7290014397453</v>
      </c>
      <c r="C1736" t="s">
        <v>22</v>
      </c>
      <c r="D1736">
        <v>2</v>
      </c>
    </row>
    <row r="1737" spans="1:4" x14ac:dyDescent="0.45">
      <c r="A1737" s="29">
        <v>45844</v>
      </c>
      <c r="B1737" s="13">
        <v>7290019274483</v>
      </c>
      <c r="C1737" t="s">
        <v>22</v>
      </c>
      <c r="D1737">
        <v>1</v>
      </c>
    </row>
    <row r="1738" spans="1:4" x14ac:dyDescent="0.45">
      <c r="A1738" s="29">
        <v>45844</v>
      </c>
      <c r="B1738" s="13">
        <v>7290019274490</v>
      </c>
      <c r="C1738" t="s">
        <v>22</v>
      </c>
      <c r="D1738">
        <v>2</v>
      </c>
    </row>
    <row r="1739" spans="1:4" x14ac:dyDescent="0.45">
      <c r="A1739" s="29">
        <v>45844</v>
      </c>
      <c r="B1739" s="13">
        <v>7290019611325</v>
      </c>
      <c r="C1739" t="s">
        <v>22</v>
      </c>
      <c r="D1739">
        <v>1</v>
      </c>
    </row>
    <row r="1740" spans="1:4" x14ac:dyDescent="0.45">
      <c r="A1740" s="29">
        <v>45844</v>
      </c>
      <c r="B1740" s="13">
        <v>7290103702489</v>
      </c>
      <c r="C1740" t="s">
        <v>22</v>
      </c>
      <c r="D1740">
        <v>6</v>
      </c>
    </row>
    <row r="1741" spans="1:4" x14ac:dyDescent="0.45">
      <c r="A1741" s="29">
        <v>45844</v>
      </c>
      <c r="B1741" s="13">
        <v>7290103703370</v>
      </c>
      <c r="C1741" t="s">
        <v>22</v>
      </c>
      <c r="D1741">
        <v>8</v>
      </c>
    </row>
    <row r="1742" spans="1:4" x14ac:dyDescent="0.45">
      <c r="A1742" s="29">
        <v>45844</v>
      </c>
      <c r="B1742" s="13">
        <v>7290103704155</v>
      </c>
      <c r="C1742" t="s">
        <v>22</v>
      </c>
      <c r="D1742">
        <v>8</v>
      </c>
    </row>
    <row r="1743" spans="1:4" x14ac:dyDescent="0.45">
      <c r="A1743" s="29">
        <v>45844</v>
      </c>
      <c r="B1743" s="13">
        <v>7290103704179</v>
      </c>
      <c r="C1743" t="s">
        <v>22</v>
      </c>
      <c r="D1743">
        <v>6</v>
      </c>
    </row>
    <row r="1744" spans="1:4" x14ac:dyDescent="0.45">
      <c r="A1744" s="29">
        <v>45844</v>
      </c>
      <c r="B1744" s="13">
        <v>7290103704919</v>
      </c>
      <c r="C1744" t="s">
        <v>22</v>
      </c>
      <c r="D1744">
        <v>8</v>
      </c>
    </row>
    <row r="1745" spans="1:4" x14ac:dyDescent="0.45">
      <c r="A1745" s="29">
        <v>45844</v>
      </c>
      <c r="B1745" s="13">
        <v>7290107280099</v>
      </c>
      <c r="C1745" t="s">
        <v>22</v>
      </c>
      <c r="D1745">
        <v>0</v>
      </c>
    </row>
    <row r="1746" spans="1:4" x14ac:dyDescent="0.45">
      <c r="A1746" s="29">
        <v>45844</v>
      </c>
      <c r="B1746" s="13">
        <v>7290108351699</v>
      </c>
      <c r="C1746" t="s">
        <v>22</v>
      </c>
      <c r="D1746">
        <v>3</v>
      </c>
    </row>
    <row r="1747" spans="1:4" x14ac:dyDescent="0.45">
      <c r="A1747" s="29">
        <v>45844</v>
      </c>
      <c r="B1747" s="13">
        <v>7290108352702</v>
      </c>
      <c r="C1747" t="s">
        <v>22</v>
      </c>
      <c r="D1747">
        <v>1</v>
      </c>
    </row>
    <row r="1748" spans="1:4" x14ac:dyDescent="0.45">
      <c r="A1748" s="29">
        <v>45844</v>
      </c>
      <c r="B1748" s="13">
        <v>7290108356298</v>
      </c>
      <c r="C1748" t="s">
        <v>22</v>
      </c>
      <c r="D1748">
        <v>1</v>
      </c>
    </row>
    <row r="1749" spans="1:4" x14ac:dyDescent="0.45">
      <c r="A1749" s="29">
        <v>45844</v>
      </c>
      <c r="B1749" s="13">
        <v>7290108356700</v>
      </c>
      <c r="C1749" t="s">
        <v>22</v>
      </c>
      <c r="D1749">
        <v>1</v>
      </c>
    </row>
    <row r="1750" spans="1:4" x14ac:dyDescent="0.45">
      <c r="A1750" s="29">
        <v>45844</v>
      </c>
      <c r="B1750" s="13">
        <v>7290108356717</v>
      </c>
      <c r="C1750" t="s">
        <v>22</v>
      </c>
      <c r="D1750">
        <v>3</v>
      </c>
    </row>
    <row r="1751" spans="1:4" x14ac:dyDescent="0.45">
      <c r="A1751" s="29">
        <v>45844</v>
      </c>
      <c r="B1751" s="13">
        <v>7290108356724</v>
      </c>
      <c r="C1751" t="s">
        <v>22</v>
      </c>
      <c r="D1751">
        <v>1</v>
      </c>
    </row>
    <row r="1752" spans="1:4" x14ac:dyDescent="0.45">
      <c r="A1752" s="29">
        <v>45844</v>
      </c>
      <c r="B1752" s="13">
        <v>7290108357240</v>
      </c>
      <c r="C1752" t="s">
        <v>22</v>
      </c>
      <c r="D1752">
        <v>1</v>
      </c>
    </row>
    <row r="1753" spans="1:4" x14ac:dyDescent="0.45">
      <c r="A1753" s="29">
        <v>45844</v>
      </c>
      <c r="B1753" s="13">
        <v>7290108357288</v>
      </c>
      <c r="C1753" t="s">
        <v>22</v>
      </c>
      <c r="D1753">
        <v>8</v>
      </c>
    </row>
    <row r="1754" spans="1:4" x14ac:dyDescent="0.45">
      <c r="A1754" s="29">
        <v>45844</v>
      </c>
      <c r="B1754" s="13">
        <v>7290108357844</v>
      </c>
      <c r="C1754" t="s">
        <v>22</v>
      </c>
      <c r="D1754">
        <v>2</v>
      </c>
    </row>
    <row r="1755" spans="1:4" x14ac:dyDescent="0.45">
      <c r="A1755" s="29">
        <v>45844</v>
      </c>
      <c r="B1755" s="13">
        <v>7290108359077</v>
      </c>
      <c r="C1755" t="s">
        <v>22</v>
      </c>
      <c r="D1755">
        <v>0</v>
      </c>
    </row>
    <row r="1756" spans="1:4" x14ac:dyDescent="0.45">
      <c r="A1756" s="29">
        <v>45844</v>
      </c>
      <c r="B1756" s="13">
        <v>7290108359176</v>
      </c>
      <c r="C1756" t="s">
        <v>22</v>
      </c>
      <c r="D1756">
        <v>0</v>
      </c>
    </row>
    <row r="1757" spans="1:4" x14ac:dyDescent="0.45">
      <c r="A1757" s="29">
        <v>45844</v>
      </c>
      <c r="B1757" s="13">
        <v>7290108359190</v>
      </c>
      <c r="C1757" t="s">
        <v>22</v>
      </c>
      <c r="D1757">
        <v>1</v>
      </c>
    </row>
    <row r="1758" spans="1:4" x14ac:dyDescent="0.45">
      <c r="A1758" s="29">
        <v>45844</v>
      </c>
      <c r="B1758" s="13">
        <v>8001090184375</v>
      </c>
      <c r="C1758" t="s">
        <v>22</v>
      </c>
      <c r="D1758">
        <v>1</v>
      </c>
    </row>
    <row r="1759" spans="1:4" x14ac:dyDescent="0.45">
      <c r="A1759" s="29">
        <v>45844</v>
      </c>
      <c r="B1759" s="13">
        <v>8001090184412</v>
      </c>
      <c r="C1759" t="s">
        <v>22</v>
      </c>
      <c r="D1759">
        <v>8</v>
      </c>
    </row>
    <row r="1760" spans="1:4" x14ac:dyDescent="0.45">
      <c r="A1760" s="29">
        <v>45844</v>
      </c>
      <c r="B1760" s="13">
        <v>8001841625362</v>
      </c>
      <c r="C1760" t="s">
        <v>22</v>
      </c>
      <c r="D1760">
        <v>2</v>
      </c>
    </row>
    <row r="1761" spans="1:4" x14ac:dyDescent="0.45">
      <c r="A1761" s="29">
        <v>45844</v>
      </c>
      <c r="B1761" s="13">
        <v>8001841893990</v>
      </c>
      <c r="C1761" t="s">
        <v>22</v>
      </c>
      <c r="D1761">
        <v>0</v>
      </c>
    </row>
    <row r="1762" spans="1:4" x14ac:dyDescent="0.45">
      <c r="A1762" s="29">
        <v>45844</v>
      </c>
      <c r="B1762" s="13">
        <v>8006540429327</v>
      </c>
      <c r="C1762" t="s">
        <v>22</v>
      </c>
      <c r="D1762">
        <v>8</v>
      </c>
    </row>
    <row r="1763" spans="1:4" x14ac:dyDescent="0.45">
      <c r="A1763" s="29">
        <v>45844</v>
      </c>
      <c r="B1763" s="13">
        <v>8700216163811</v>
      </c>
      <c r="C1763" t="s">
        <v>22</v>
      </c>
      <c r="D1763">
        <v>6</v>
      </c>
    </row>
    <row r="1764" spans="1:4" x14ac:dyDescent="0.45">
      <c r="A1764" s="29">
        <v>45844</v>
      </c>
      <c r="B1764" s="13">
        <v>8700216236034</v>
      </c>
      <c r="C1764" t="s">
        <v>22</v>
      </c>
      <c r="D1764">
        <v>2</v>
      </c>
    </row>
    <row r="1765" spans="1:4" x14ac:dyDescent="0.45">
      <c r="A1765" s="29">
        <v>45844</v>
      </c>
      <c r="B1765" s="13">
        <v>8700216236751</v>
      </c>
      <c r="C1765" t="s">
        <v>22</v>
      </c>
      <c r="D1765">
        <v>1</v>
      </c>
    </row>
    <row r="1766" spans="1:4" x14ac:dyDescent="0.45">
      <c r="A1766" s="29">
        <v>45845</v>
      </c>
      <c r="B1766" s="13">
        <v>4084500088917</v>
      </c>
      <c r="C1766" t="s">
        <v>22</v>
      </c>
      <c r="D1766">
        <v>5</v>
      </c>
    </row>
    <row r="1767" spans="1:4" x14ac:dyDescent="0.45">
      <c r="A1767" s="29">
        <v>45845</v>
      </c>
      <c r="B1767" s="13">
        <v>4084500853836</v>
      </c>
      <c r="C1767" t="s">
        <v>22</v>
      </c>
      <c r="D1767">
        <v>4</v>
      </c>
    </row>
    <row r="1768" spans="1:4" x14ac:dyDescent="0.45">
      <c r="A1768" s="29">
        <v>45845</v>
      </c>
      <c r="B1768" s="13">
        <v>7290000286921</v>
      </c>
      <c r="C1768" t="s">
        <v>22</v>
      </c>
      <c r="D1768">
        <v>2</v>
      </c>
    </row>
    <row r="1769" spans="1:4" x14ac:dyDescent="0.45">
      <c r="A1769" s="29">
        <v>45845</v>
      </c>
      <c r="B1769" s="13">
        <v>7290000288024</v>
      </c>
      <c r="C1769" t="s">
        <v>22</v>
      </c>
      <c r="D1769">
        <v>5</v>
      </c>
    </row>
    <row r="1770" spans="1:4" x14ac:dyDescent="0.45">
      <c r="A1770" s="29">
        <v>45845</v>
      </c>
      <c r="B1770" s="13">
        <v>7290000288307</v>
      </c>
      <c r="C1770" t="s">
        <v>22</v>
      </c>
      <c r="D1770">
        <v>1</v>
      </c>
    </row>
    <row r="1771" spans="1:4" x14ac:dyDescent="0.45">
      <c r="A1771" s="29">
        <v>45845</v>
      </c>
      <c r="B1771" s="13">
        <v>7290000288659</v>
      </c>
      <c r="C1771" t="s">
        <v>22</v>
      </c>
      <c r="D1771">
        <v>0</v>
      </c>
    </row>
    <row r="1772" spans="1:4" x14ac:dyDescent="0.45">
      <c r="A1772" s="29">
        <v>45845</v>
      </c>
      <c r="B1772" s="13">
        <v>7290000292915</v>
      </c>
      <c r="C1772" t="s">
        <v>22</v>
      </c>
      <c r="D1772">
        <v>2</v>
      </c>
    </row>
    <row r="1773" spans="1:4" x14ac:dyDescent="0.45">
      <c r="A1773" s="29">
        <v>45845</v>
      </c>
      <c r="B1773" s="13">
        <v>7290000294780</v>
      </c>
      <c r="C1773" t="s">
        <v>22</v>
      </c>
      <c r="D1773">
        <v>4</v>
      </c>
    </row>
    <row r="1774" spans="1:4" x14ac:dyDescent="0.45">
      <c r="A1774" s="29">
        <v>45845</v>
      </c>
      <c r="B1774" s="13">
        <v>7290000295367</v>
      </c>
      <c r="C1774" t="s">
        <v>22</v>
      </c>
      <c r="D1774">
        <v>2</v>
      </c>
    </row>
    <row r="1775" spans="1:4" x14ac:dyDescent="0.45">
      <c r="A1775" s="29">
        <v>45845</v>
      </c>
      <c r="B1775" s="13">
        <v>7290000295541</v>
      </c>
      <c r="C1775" t="s">
        <v>22</v>
      </c>
      <c r="D1775">
        <v>1</v>
      </c>
    </row>
    <row r="1776" spans="1:4" x14ac:dyDescent="0.45">
      <c r="A1776" s="29">
        <v>45845</v>
      </c>
      <c r="B1776" s="13">
        <v>7290001246610</v>
      </c>
      <c r="C1776" t="s">
        <v>22</v>
      </c>
      <c r="D1776">
        <v>1</v>
      </c>
    </row>
    <row r="1777" spans="1:4" x14ac:dyDescent="0.45">
      <c r="A1777" s="29">
        <v>45845</v>
      </c>
      <c r="B1777" s="13">
        <v>7290005424700</v>
      </c>
      <c r="C1777" t="s">
        <v>22</v>
      </c>
      <c r="D1777">
        <v>1</v>
      </c>
    </row>
    <row r="1778" spans="1:4" x14ac:dyDescent="0.45">
      <c r="A1778" s="29">
        <v>45845</v>
      </c>
      <c r="B1778" s="13">
        <v>7290005425110</v>
      </c>
      <c r="C1778" t="s">
        <v>22</v>
      </c>
      <c r="D1778">
        <v>2</v>
      </c>
    </row>
    <row r="1779" spans="1:4" x14ac:dyDescent="0.45">
      <c r="A1779" s="29">
        <v>45845</v>
      </c>
      <c r="B1779" s="13">
        <v>7290005425196</v>
      </c>
      <c r="C1779" t="s">
        <v>22</v>
      </c>
      <c r="D1779">
        <v>1</v>
      </c>
    </row>
    <row r="1780" spans="1:4" x14ac:dyDescent="0.45">
      <c r="A1780" s="29">
        <v>45845</v>
      </c>
      <c r="B1780" s="13">
        <v>7290012116025</v>
      </c>
      <c r="C1780" t="s">
        <v>22</v>
      </c>
      <c r="D1780">
        <v>2</v>
      </c>
    </row>
    <row r="1781" spans="1:4" x14ac:dyDescent="0.45">
      <c r="A1781" s="29">
        <v>45845</v>
      </c>
      <c r="B1781" s="13">
        <v>7290012117534</v>
      </c>
      <c r="C1781" t="s">
        <v>22</v>
      </c>
      <c r="D1781">
        <v>1</v>
      </c>
    </row>
    <row r="1782" spans="1:4" x14ac:dyDescent="0.45">
      <c r="A1782" s="29">
        <v>45845</v>
      </c>
      <c r="B1782" s="13">
        <v>7290013268204</v>
      </c>
      <c r="C1782" t="s">
        <v>22</v>
      </c>
      <c r="D1782">
        <v>0</v>
      </c>
    </row>
    <row r="1783" spans="1:4" x14ac:dyDescent="0.45">
      <c r="A1783" s="29">
        <v>45845</v>
      </c>
      <c r="B1783" s="13">
        <v>7290013268891</v>
      </c>
      <c r="C1783" t="s">
        <v>22</v>
      </c>
      <c r="D1783">
        <v>2</v>
      </c>
    </row>
    <row r="1784" spans="1:4" x14ac:dyDescent="0.45">
      <c r="A1784" s="29">
        <v>45845</v>
      </c>
      <c r="B1784" s="13">
        <v>7290013269003</v>
      </c>
      <c r="C1784" t="s">
        <v>22</v>
      </c>
      <c r="D1784">
        <v>1</v>
      </c>
    </row>
    <row r="1785" spans="1:4" x14ac:dyDescent="0.45">
      <c r="A1785" s="29">
        <v>45845</v>
      </c>
      <c r="B1785" s="13">
        <v>7290014397453</v>
      </c>
      <c r="C1785" t="s">
        <v>22</v>
      </c>
      <c r="D1785">
        <v>2</v>
      </c>
    </row>
    <row r="1786" spans="1:4" x14ac:dyDescent="0.45">
      <c r="A1786" s="29">
        <v>45845</v>
      </c>
      <c r="B1786" s="13">
        <v>7290019274483</v>
      </c>
      <c r="C1786" t="s">
        <v>22</v>
      </c>
      <c r="D1786">
        <v>1</v>
      </c>
    </row>
    <row r="1787" spans="1:4" x14ac:dyDescent="0.45">
      <c r="A1787" s="29">
        <v>45845</v>
      </c>
      <c r="B1787" s="13">
        <v>7290019274490</v>
      </c>
      <c r="C1787" t="s">
        <v>22</v>
      </c>
      <c r="D1787">
        <v>1</v>
      </c>
    </row>
    <row r="1788" spans="1:4" x14ac:dyDescent="0.45">
      <c r="A1788" s="29">
        <v>45845</v>
      </c>
      <c r="B1788" s="13">
        <v>7290019611325</v>
      </c>
      <c r="C1788" t="s">
        <v>22</v>
      </c>
      <c r="D1788">
        <v>1</v>
      </c>
    </row>
    <row r="1789" spans="1:4" x14ac:dyDescent="0.45">
      <c r="A1789" s="29">
        <v>45845</v>
      </c>
      <c r="B1789" s="13">
        <v>7290103702489</v>
      </c>
      <c r="C1789" t="s">
        <v>22</v>
      </c>
      <c r="D1789">
        <v>5</v>
      </c>
    </row>
    <row r="1790" spans="1:4" x14ac:dyDescent="0.45">
      <c r="A1790" s="29">
        <v>45845</v>
      </c>
      <c r="B1790" s="13">
        <v>7290103703370</v>
      </c>
      <c r="C1790" t="s">
        <v>22</v>
      </c>
      <c r="D1790">
        <v>5</v>
      </c>
    </row>
    <row r="1791" spans="1:4" x14ac:dyDescent="0.45">
      <c r="A1791" s="29">
        <v>45845</v>
      </c>
      <c r="B1791" s="13">
        <v>7290103704155</v>
      </c>
      <c r="C1791" t="s">
        <v>22</v>
      </c>
      <c r="D1791">
        <v>4</v>
      </c>
    </row>
    <row r="1792" spans="1:4" x14ac:dyDescent="0.45">
      <c r="A1792" s="29">
        <v>45845</v>
      </c>
      <c r="B1792" s="13">
        <v>7290103704179</v>
      </c>
      <c r="C1792" t="s">
        <v>22</v>
      </c>
      <c r="D1792">
        <v>5</v>
      </c>
    </row>
    <row r="1793" spans="1:4" x14ac:dyDescent="0.45">
      <c r="A1793" s="29">
        <v>45845</v>
      </c>
      <c r="B1793" s="13">
        <v>7290103704919</v>
      </c>
      <c r="C1793" t="s">
        <v>22</v>
      </c>
      <c r="D1793">
        <v>4</v>
      </c>
    </row>
    <row r="1794" spans="1:4" x14ac:dyDescent="0.45">
      <c r="A1794" s="29">
        <v>45845</v>
      </c>
      <c r="B1794" s="13">
        <v>7290107280099</v>
      </c>
      <c r="C1794" t="s">
        <v>22</v>
      </c>
      <c r="D1794">
        <v>0</v>
      </c>
    </row>
    <row r="1795" spans="1:4" x14ac:dyDescent="0.45">
      <c r="A1795" s="29">
        <v>45845</v>
      </c>
      <c r="B1795" s="13">
        <v>7290108351699</v>
      </c>
      <c r="C1795" t="s">
        <v>22</v>
      </c>
      <c r="D1795">
        <v>1</v>
      </c>
    </row>
    <row r="1796" spans="1:4" x14ac:dyDescent="0.45">
      <c r="A1796" s="29">
        <v>45845</v>
      </c>
      <c r="B1796" s="13">
        <v>7290108352702</v>
      </c>
      <c r="C1796" t="s">
        <v>22</v>
      </c>
      <c r="D1796">
        <v>0</v>
      </c>
    </row>
    <row r="1797" spans="1:4" x14ac:dyDescent="0.45">
      <c r="A1797" s="29">
        <v>45845</v>
      </c>
      <c r="B1797" s="13">
        <v>7290108356298</v>
      </c>
      <c r="C1797" t="s">
        <v>22</v>
      </c>
      <c r="D1797">
        <v>3</v>
      </c>
    </row>
    <row r="1798" spans="1:4" x14ac:dyDescent="0.45">
      <c r="A1798" s="29">
        <v>45845</v>
      </c>
      <c r="B1798" s="13">
        <v>7290108356700</v>
      </c>
      <c r="C1798" t="s">
        <v>22</v>
      </c>
      <c r="D1798">
        <v>0</v>
      </c>
    </row>
    <row r="1799" spans="1:4" x14ac:dyDescent="0.45">
      <c r="A1799" s="29">
        <v>45845</v>
      </c>
      <c r="B1799" s="13">
        <v>7290108356717</v>
      </c>
      <c r="C1799" t="s">
        <v>22</v>
      </c>
      <c r="D1799">
        <v>3</v>
      </c>
    </row>
    <row r="1800" spans="1:4" x14ac:dyDescent="0.45">
      <c r="A1800" s="29">
        <v>45845</v>
      </c>
      <c r="B1800" s="13">
        <v>7290108356724</v>
      </c>
      <c r="C1800" t="s">
        <v>22</v>
      </c>
      <c r="D1800">
        <v>2</v>
      </c>
    </row>
    <row r="1801" spans="1:4" x14ac:dyDescent="0.45">
      <c r="A1801" s="29">
        <v>45845</v>
      </c>
      <c r="B1801" s="13">
        <v>7290108357240</v>
      </c>
      <c r="C1801" t="s">
        <v>22</v>
      </c>
      <c r="D1801">
        <v>1</v>
      </c>
    </row>
    <row r="1802" spans="1:4" x14ac:dyDescent="0.45">
      <c r="A1802" s="29">
        <v>45845</v>
      </c>
      <c r="B1802" s="13">
        <v>7290108357288</v>
      </c>
      <c r="C1802" t="s">
        <v>22</v>
      </c>
      <c r="D1802">
        <v>4</v>
      </c>
    </row>
    <row r="1803" spans="1:4" x14ac:dyDescent="0.45">
      <c r="A1803" s="29">
        <v>45845</v>
      </c>
      <c r="B1803" s="13">
        <v>7290108357844</v>
      </c>
      <c r="C1803" t="s">
        <v>22</v>
      </c>
      <c r="D1803">
        <v>2</v>
      </c>
    </row>
    <row r="1804" spans="1:4" x14ac:dyDescent="0.45">
      <c r="A1804" s="29">
        <v>45845</v>
      </c>
      <c r="B1804" s="13">
        <v>7290108359077</v>
      </c>
      <c r="C1804" t="s">
        <v>22</v>
      </c>
      <c r="D1804">
        <v>1</v>
      </c>
    </row>
    <row r="1805" spans="1:4" x14ac:dyDescent="0.45">
      <c r="A1805" s="29">
        <v>45845</v>
      </c>
      <c r="B1805" s="13">
        <v>7290108359176</v>
      </c>
      <c r="C1805" t="s">
        <v>22</v>
      </c>
      <c r="D1805">
        <v>1</v>
      </c>
    </row>
    <row r="1806" spans="1:4" x14ac:dyDescent="0.45">
      <c r="A1806" s="29">
        <v>45845</v>
      </c>
      <c r="B1806" s="13">
        <v>7290108359190</v>
      </c>
      <c r="C1806" t="s">
        <v>22</v>
      </c>
      <c r="D1806">
        <v>1</v>
      </c>
    </row>
    <row r="1807" spans="1:4" x14ac:dyDescent="0.45">
      <c r="A1807" s="29">
        <v>45845</v>
      </c>
      <c r="B1807" s="13">
        <v>8001090184375</v>
      </c>
      <c r="C1807" t="s">
        <v>22</v>
      </c>
      <c r="D1807">
        <v>1</v>
      </c>
    </row>
    <row r="1808" spans="1:4" x14ac:dyDescent="0.45">
      <c r="A1808" s="29">
        <v>45845</v>
      </c>
      <c r="B1808" s="13">
        <v>8001090184412</v>
      </c>
      <c r="C1808" t="s">
        <v>22</v>
      </c>
      <c r="D1808">
        <v>5</v>
      </c>
    </row>
    <row r="1809" spans="1:4" x14ac:dyDescent="0.45">
      <c r="A1809" s="29">
        <v>45845</v>
      </c>
      <c r="B1809" s="13">
        <v>8001841625362</v>
      </c>
      <c r="C1809" t="s">
        <v>22</v>
      </c>
      <c r="D1809">
        <v>2</v>
      </c>
    </row>
    <row r="1810" spans="1:4" x14ac:dyDescent="0.45">
      <c r="A1810" s="29">
        <v>45845</v>
      </c>
      <c r="B1810" s="13">
        <v>8001841893990</v>
      </c>
      <c r="C1810" t="s">
        <v>22</v>
      </c>
      <c r="D1810">
        <v>1</v>
      </c>
    </row>
    <row r="1811" spans="1:4" x14ac:dyDescent="0.45">
      <c r="A1811" s="29">
        <v>45845</v>
      </c>
      <c r="B1811" s="13">
        <v>8006540429327</v>
      </c>
      <c r="C1811" t="s">
        <v>22</v>
      </c>
      <c r="D1811">
        <v>4</v>
      </c>
    </row>
    <row r="1812" spans="1:4" x14ac:dyDescent="0.45">
      <c r="A1812" s="29">
        <v>45845</v>
      </c>
      <c r="B1812" s="13">
        <v>8700216163811</v>
      </c>
      <c r="C1812" t="s">
        <v>22</v>
      </c>
      <c r="D1812">
        <v>4</v>
      </c>
    </row>
    <row r="1813" spans="1:4" x14ac:dyDescent="0.45">
      <c r="A1813" s="29">
        <v>45845</v>
      </c>
      <c r="B1813" s="13">
        <v>8700216236034</v>
      </c>
      <c r="C1813" t="s">
        <v>22</v>
      </c>
      <c r="D1813">
        <v>2</v>
      </c>
    </row>
    <row r="1814" spans="1:4" x14ac:dyDescent="0.45">
      <c r="A1814" s="29">
        <v>45845</v>
      </c>
      <c r="B1814" s="13">
        <v>8700216236751</v>
      </c>
      <c r="C1814" t="s">
        <v>22</v>
      </c>
      <c r="D1814">
        <v>1</v>
      </c>
    </row>
    <row r="1815" spans="1:4" x14ac:dyDescent="0.45">
      <c r="A1815" s="29">
        <v>45846</v>
      </c>
      <c r="B1815" s="13">
        <v>4084500088917</v>
      </c>
      <c r="C1815" t="s">
        <v>22</v>
      </c>
      <c r="D1815">
        <v>4</v>
      </c>
    </row>
    <row r="1816" spans="1:4" x14ac:dyDescent="0.45">
      <c r="A1816" s="29">
        <v>45846</v>
      </c>
      <c r="B1816" s="13">
        <v>4084500853836</v>
      </c>
      <c r="C1816" t="s">
        <v>22</v>
      </c>
      <c r="D1816">
        <v>5</v>
      </c>
    </row>
    <row r="1817" spans="1:4" x14ac:dyDescent="0.45">
      <c r="A1817" s="29">
        <v>45846</v>
      </c>
      <c r="B1817" s="13">
        <v>7290000286921</v>
      </c>
      <c r="C1817" t="s">
        <v>22</v>
      </c>
      <c r="D1817">
        <v>1</v>
      </c>
    </row>
    <row r="1818" spans="1:4" x14ac:dyDescent="0.45">
      <c r="A1818" s="29">
        <v>45846</v>
      </c>
      <c r="B1818" s="13">
        <v>7290000288024</v>
      </c>
      <c r="C1818" t="s">
        <v>22</v>
      </c>
      <c r="D1818">
        <v>4</v>
      </c>
    </row>
    <row r="1819" spans="1:4" x14ac:dyDescent="0.45">
      <c r="A1819" s="29">
        <v>45846</v>
      </c>
      <c r="B1819" s="13">
        <v>7290000288307</v>
      </c>
      <c r="C1819" t="s">
        <v>22</v>
      </c>
      <c r="D1819">
        <v>0</v>
      </c>
    </row>
    <row r="1820" spans="1:4" x14ac:dyDescent="0.45">
      <c r="A1820" s="29">
        <v>45846</v>
      </c>
      <c r="B1820" s="13">
        <v>7290000288659</v>
      </c>
      <c r="C1820" t="s">
        <v>22</v>
      </c>
      <c r="D1820">
        <v>0</v>
      </c>
    </row>
    <row r="1821" spans="1:4" x14ac:dyDescent="0.45">
      <c r="A1821" s="29">
        <v>45846</v>
      </c>
      <c r="B1821" s="13">
        <v>7290000292915</v>
      </c>
      <c r="C1821" t="s">
        <v>22</v>
      </c>
      <c r="D1821">
        <v>1</v>
      </c>
    </row>
    <row r="1822" spans="1:4" x14ac:dyDescent="0.45">
      <c r="A1822" s="29">
        <v>45846</v>
      </c>
      <c r="B1822" s="13">
        <v>7290000294780</v>
      </c>
      <c r="C1822" t="s">
        <v>22</v>
      </c>
      <c r="D1822">
        <v>5</v>
      </c>
    </row>
    <row r="1823" spans="1:4" x14ac:dyDescent="0.45">
      <c r="A1823" s="29">
        <v>45846</v>
      </c>
      <c r="B1823" s="13">
        <v>7290000295367</v>
      </c>
      <c r="C1823" t="s">
        <v>22</v>
      </c>
      <c r="D1823">
        <v>2</v>
      </c>
    </row>
    <row r="1824" spans="1:4" x14ac:dyDescent="0.45">
      <c r="A1824" s="29">
        <v>45846</v>
      </c>
      <c r="B1824" s="13">
        <v>7290000295541</v>
      </c>
      <c r="C1824" t="s">
        <v>22</v>
      </c>
      <c r="D1824">
        <v>0</v>
      </c>
    </row>
    <row r="1825" spans="1:4" x14ac:dyDescent="0.45">
      <c r="A1825" s="29">
        <v>45846</v>
      </c>
      <c r="B1825" s="13">
        <v>7290001246610</v>
      </c>
      <c r="C1825" t="s">
        <v>22</v>
      </c>
      <c r="D1825">
        <v>1</v>
      </c>
    </row>
    <row r="1826" spans="1:4" x14ac:dyDescent="0.45">
      <c r="A1826" s="29">
        <v>45846</v>
      </c>
      <c r="B1826" s="13">
        <v>7290005424700</v>
      </c>
      <c r="C1826" t="s">
        <v>22</v>
      </c>
      <c r="D1826">
        <v>3</v>
      </c>
    </row>
    <row r="1827" spans="1:4" x14ac:dyDescent="0.45">
      <c r="A1827" s="29">
        <v>45846</v>
      </c>
      <c r="B1827" s="13">
        <v>7290005425110</v>
      </c>
      <c r="C1827" t="s">
        <v>22</v>
      </c>
      <c r="D1827">
        <v>3</v>
      </c>
    </row>
    <row r="1828" spans="1:4" x14ac:dyDescent="0.45">
      <c r="A1828" s="29">
        <v>45846</v>
      </c>
      <c r="B1828" s="13">
        <v>7290005425196</v>
      </c>
      <c r="C1828" t="s">
        <v>22</v>
      </c>
      <c r="D1828">
        <v>2</v>
      </c>
    </row>
    <row r="1829" spans="1:4" x14ac:dyDescent="0.45">
      <c r="A1829" s="29">
        <v>45846</v>
      </c>
      <c r="B1829" s="13">
        <v>7290012116025</v>
      </c>
      <c r="C1829" t="s">
        <v>22</v>
      </c>
      <c r="D1829">
        <v>2</v>
      </c>
    </row>
    <row r="1830" spans="1:4" x14ac:dyDescent="0.45">
      <c r="A1830" s="29">
        <v>45846</v>
      </c>
      <c r="B1830" s="13">
        <v>7290012117534</v>
      </c>
      <c r="C1830" t="s">
        <v>22</v>
      </c>
      <c r="D1830">
        <v>2</v>
      </c>
    </row>
    <row r="1831" spans="1:4" x14ac:dyDescent="0.45">
      <c r="A1831" s="29">
        <v>45846</v>
      </c>
      <c r="B1831" s="13">
        <v>7290013268204</v>
      </c>
      <c r="C1831" t="s">
        <v>22</v>
      </c>
      <c r="D1831">
        <v>1</v>
      </c>
    </row>
    <row r="1832" spans="1:4" x14ac:dyDescent="0.45">
      <c r="A1832" s="29">
        <v>45846</v>
      </c>
      <c r="B1832" s="13">
        <v>7290013268891</v>
      </c>
      <c r="C1832" t="s">
        <v>22</v>
      </c>
      <c r="D1832">
        <v>2</v>
      </c>
    </row>
    <row r="1833" spans="1:4" x14ac:dyDescent="0.45">
      <c r="A1833" s="29">
        <v>45846</v>
      </c>
      <c r="B1833" s="13">
        <v>7290013269003</v>
      </c>
      <c r="C1833" t="s">
        <v>22</v>
      </c>
      <c r="D1833">
        <v>1</v>
      </c>
    </row>
    <row r="1834" spans="1:4" x14ac:dyDescent="0.45">
      <c r="A1834" s="29">
        <v>45846</v>
      </c>
      <c r="B1834" s="13">
        <v>7290014397453</v>
      </c>
      <c r="C1834" t="s">
        <v>22</v>
      </c>
      <c r="D1834">
        <v>2</v>
      </c>
    </row>
    <row r="1835" spans="1:4" x14ac:dyDescent="0.45">
      <c r="A1835" s="29">
        <v>45846</v>
      </c>
      <c r="B1835" s="13">
        <v>7290019274483</v>
      </c>
      <c r="C1835" t="s">
        <v>22</v>
      </c>
      <c r="D1835">
        <v>2</v>
      </c>
    </row>
    <row r="1836" spans="1:4" x14ac:dyDescent="0.45">
      <c r="A1836" s="29">
        <v>45846</v>
      </c>
      <c r="B1836" s="13">
        <v>7290019274490</v>
      </c>
      <c r="C1836" t="s">
        <v>22</v>
      </c>
      <c r="D1836">
        <v>1</v>
      </c>
    </row>
    <row r="1837" spans="1:4" x14ac:dyDescent="0.45">
      <c r="A1837" s="29">
        <v>45846</v>
      </c>
      <c r="B1837" s="13">
        <v>7290019611325</v>
      </c>
      <c r="C1837" t="s">
        <v>22</v>
      </c>
      <c r="D1837">
        <v>1</v>
      </c>
    </row>
    <row r="1838" spans="1:4" x14ac:dyDescent="0.45">
      <c r="A1838" s="29">
        <v>45846</v>
      </c>
      <c r="B1838" s="13">
        <v>7290103702489</v>
      </c>
      <c r="C1838" t="s">
        <v>22</v>
      </c>
      <c r="D1838">
        <v>5</v>
      </c>
    </row>
    <row r="1839" spans="1:4" x14ac:dyDescent="0.45">
      <c r="A1839" s="29">
        <v>45846</v>
      </c>
      <c r="B1839" s="13">
        <v>7290103703370</v>
      </c>
      <c r="C1839" t="s">
        <v>22</v>
      </c>
      <c r="D1839">
        <v>5</v>
      </c>
    </row>
    <row r="1840" spans="1:4" x14ac:dyDescent="0.45">
      <c r="A1840" s="29">
        <v>45846</v>
      </c>
      <c r="B1840" s="13">
        <v>7290103704155</v>
      </c>
      <c r="C1840" t="s">
        <v>22</v>
      </c>
      <c r="D1840">
        <v>5</v>
      </c>
    </row>
    <row r="1841" spans="1:4" x14ac:dyDescent="0.45">
      <c r="A1841" s="29">
        <v>45846</v>
      </c>
      <c r="B1841" s="13">
        <v>7290103704179</v>
      </c>
      <c r="C1841" t="s">
        <v>22</v>
      </c>
      <c r="D1841">
        <v>5</v>
      </c>
    </row>
    <row r="1842" spans="1:4" x14ac:dyDescent="0.45">
      <c r="A1842" s="29">
        <v>45846</v>
      </c>
      <c r="B1842" s="13">
        <v>7290103704919</v>
      </c>
      <c r="C1842" t="s">
        <v>22</v>
      </c>
      <c r="D1842">
        <v>4</v>
      </c>
    </row>
    <row r="1843" spans="1:4" x14ac:dyDescent="0.45">
      <c r="A1843" s="29">
        <v>45846</v>
      </c>
      <c r="B1843" s="13">
        <v>7290107280099</v>
      </c>
      <c r="C1843" t="s">
        <v>22</v>
      </c>
      <c r="D1843">
        <v>1</v>
      </c>
    </row>
    <row r="1844" spans="1:4" x14ac:dyDescent="0.45">
      <c r="A1844" s="29">
        <v>45846</v>
      </c>
      <c r="B1844" s="13">
        <v>7290108351699</v>
      </c>
      <c r="C1844" t="s">
        <v>22</v>
      </c>
      <c r="D1844">
        <v>1</v>
      </c>
    </row>
    <row r="1845" spans="1:4" x14ac:dyDescent="0.45">
      <c r="A1845" s="29">
        <v>45846</v>
      </c>
      <c r="B1845" s="13">
        <v>7290108352702</v>
      </c>
      <c r="C1845" t="s">
        <v>22</v>
      </c>
      <c r="D1845">
        <v>0</v>
      </c>
    </row>
    <row r="1846" spans="1:4" x14ac:dyDescent="0.45">
      <c r="A1846" s="29">
        <v>45846</v>
      </c>
      <c r="B1846" s="13">
        <v>7290108356298</v>
      </c>
      <c r="C1846" t="s">
        <v>22</v>
      </c>
      <c r="D1846">
        <v>1</v>
      </c>
    </row>
    <row r="1847" spans="1:4" x14ac:dyDescent="0.45">
      <c r="A1847" s="29">
        <v>45846</v>
      </c>
      <c r="B1847" s="13">
        <v>7290108356700</v>
      </c>
      <c r="C1847" t="s">
        <v>22</v>
      </c>
      <c r="D1847">
        <v>0</v>
      </c>
    </row>
    <row r="1848" spans="1:4" x14ac:dyDescent="0.45">
      <c r="A1848" s="29">
        <v>45846</v>
      </c>
      <c r="B1848" s="13">
        <v>7290108356717</v>
      </c>
      <c r="C1848" t="s">
        <v>22</v>
      </c>
      <c r="D1848">
        <v>2</v>
      </c>
    </row>
    <row r="1849" spans="1:4" x14ac:dyDescent="0.45">
      <c r="A1849" s="29">
        <v>45846</v>
      </c>
      <c r="B1849" s="13">
        <v>7290108356724</v>
      </c>
      <c r="C1849" t="s">
        <v>22</v>
      </c>
      <c r="D1849">
        <v>3</v>
      </c>
    </row>
    <row r="1850" spans="1:4" x14ac:dyDescent="0.45">
      <c r="A1850" s="29">
        <v>45846</v>
      </c>
      <c r="B1850" s="13">
        <v>7290108357240</v>
      </c>
      <c r="C1850" t="s">
        <v>22</v>
      </c>
      <c r="D1850">
        <v>2</v>
      </c>
    </row>
    <row r="1851" spans="1:4" x14ac:dyDescent="0.45">
      <c r="A1851" s="29">
        <v>45846</v>
      </c>
      <c r="B1851" s="13">
        <v>7290108357288</v>
      </c>
      <c r="C1851" t="s">
        <v>22</v>
      </c>
      <c r="D1851">
        <v>5</v>
      </c>
    </row>
    <row r="1852" spans="1:4" x14ac:dyDescent="0.45">
      <c r="A1852" s="29">
        <v>45846</v>
      </c>
      <c r="B1852" s="13">
        <v>7290108357844</v>
      </c>
      <c r="C1852" t="s">
        <v>22</v>
      </c>
      <c r="D1852">
        <v>3</v>
      </c>
    </row>
    <row r="1853" spans="1:4" x14ac:dyDescent="0.45">
      <c r="A1853" s="29">
        <v>45846</v>
      </c>
      <c r="B1853" s="13">
        <v>7290108359077</v>
      </c>
      <c r="C1853" t="s">
        <v>22</v>
      </c>
      <c r="D1853">
        <v>1</v>
      </c>
    </row>
    <row r="1854" spans="1:4" x14ac:dyDescent="0.45">
      <c r="A1854" s="29">
        <v>45846</v>
      </c>
      <c r="B1854" s="13">
        <v>7290108359176</v>
      </c>
      <c r="C1854" t="s">
        <v>22</v>
      </c>
      <c r="D1854">
        <v>0</v>
      </c>
    </row>
    <row r="1855" spans="1:4" x14ac:dyDescent="0.45">
      <c r="A1855" s="29">
        <v>45846</v>
      </c>
      <c r="B1855" s="13">
        <v>7290108359190</v>
      </c>
      <c r="C1855" t="s">
        <v>22</v>
      </c>
      <c r="D1855">
        <v>1</v>
      </c>
    </row>
    <row r="1856" spans="1:4" x14ac:dyDescent="0.45">
      <c r="A1856" s="29">
        <v>45846</v>
      </c>
      <c r="B1856" s="13">
        <v>8001090184375</v>
      </c>
      <c r="C1856" t="s">
        <v>22</v>
      </c>
      <c r="D1856">
        <v>2</v>
      </c>
    </row>
    <row r="1857" spans="1:4" x14ac:dyDescent="0.45">
      <c r="A1857" s="29">
        <v>45846</v>
      </c>
      <c r="B1857" s="13">
        <v>8001090184412</v>
      </c>
      <c r="C1857" t="s">
        <v>22</v>
      </c>
      <c r="D1857">
        <v>4</v>
      </c>
    </row>
    <row r="1858" spans="1:4" x14ac:dyDescent="0.45">
      <c r="A1858" s="29">
        <v>45846</v>
      </c>
      <c r="B1858" s="13">
        <v>8001841625362</v>
      </c>
      <c r="C1858" t="s">
        <v>22</v>
      </c>
      <c r="D1858">
        <v>2</v>
      </c>
    </row>
    <row r="1859" spans="1:4" x14ac:dyDescent="0.45">
      <c r="A1859" s="29">
        <v>45846</v>
      </c>
      <c r="B1859" s="13">
        <v>8001841893990</v>
      </c>
      <c r="C1859" t="s">
        <v>22</v>
      </c>
      <c r="D1859">
        <v>0</v>
      </c>
    </row>
    <row r="1860" spans="1:4" x14ac:dyDescent="0.45">
      <c r="A1860" s="29">
        <v>45846</v>
      </c>
      <c r="B1860" s="13">
        <v>8006540429327</v>
      </c>
      <c r="C1860" t="s">
        <v>22</v>
      </c>
      <c r="D1860">
        <v>5</v>
      </c>
    </row>
    <row r="1861" spans="1:4" x14ac:dyDescent="0.45">
      <c r="A1861" s="29">
        <v>45846</v>
      </c>
      <c r="B1861" s="13">
        <v>8700216163811</v>
      </c>
      <c r="C1861" t="s">
        <v>22</v>
      </c>
      <c r="D1861">
        <v>4</v>
      </c>
    </row>
    <row r="1862" spans="1:4" x14ac:dyDescent="0.45">
      <c r="A1862" s="29">
        <v>45846</v>
      </c>
      <c r="B1862" s="13">
        <v>8700216236034</v>
      </c>
      <c r="C1862" t="s">
        <v>22</v>
      </c>
      <c r="D1862">
        <v>1</v>
      </c>
    </row>
    <row r="1863" spans="1:4" x14ac:dyDescent="0.45">
      <c r="A1863" s="29">
        <v>45846</v>
      </c>
      <c r="B1863" s="13">
        <v>8700216236751</v>
      </c>
      <c r="C1863" t="s">
        <v>22</v>
      </c>
      <c r="D1863">
        <v>1</v>
      </c>
    </row>
    <row r="1864" spans="1:4" x14ac:dyDescent="0.45">
      <c r="A1864" s="29">
        <v>45847</v>
      </c>
      <c r="B1864" s="13">
        <v>4084500088917</v>
      </c>
      <c r="C1864" t="s">
        <v>22</v>
      </c>
      <c r="D1864">
        <v>4</v>
      </c>
    </row>
    <row r="1865" spans="1:4" x14ac:dyDescent="0.45">
      <c r="A1865" s="29">
        <v>45847</v>
      </c>
      <c r="B1865" s="13">
        <v>4084500853836</v>
      </c>
      <c r="C1865" t="s">
        <v>22</v>
      </c>
      <c r="D1865">
        <v>5</v>
      </c>
    </row>
    <row r="1866" spans="1:4" x14ac:dyDescent="0.45">
      <c r="A1866" s="29">
        <v>45847</v>
      </c>
      <c r="B1866" s="13">
        <v>7290000286921</v>
      </c>
      <c r="C1866" t="s">
        <v>22</v>
      </c>
      <c r="D1866">
        <v>0</v>
      </c>
    </row>
    <row r="1867" spans="1:4" x14ac:dyDescent="0.45">
      <c r="A1867" s="29">
        <v>45847</v>
      </c>
      <c r="B1867" s="13">
        <v>7290000288024</v>
      </c>
      <c r="C1867" t="s">
        <v>22</v>
      </c>
      <c r="D1867">
        <v>5</v>
      </c>
    </row>
    <row r="1868" spans="1:4" x14ac:dyDescent="0.45">
      <c r="A1868" s="29">
        <v>45847</v>
      </c>
      <c r="B1868" s="13">
        <v>7290000288307</v>
      </c>
      <c r="C1868" t="s">
        <v>22</v>
      </c>
      <c r="D1868">
        <v>1</v>
      </c>
    </row>
    <row r="1869" spans="1:4" x14ac:dyDescent="0.45">
      <c r="A1869" s="29">
        <v>45847</v>
      </c>
      <c r="B1869" s="13">
        <v>7290000288659</v>
      </c>
      <c r="C1869" t="s">
        <v>22</v>
      </c>
      <c r="D1869">
        <v>0</v>
      </c>
    </row>
    <row r="1870" spans="1:4" x14ac:dyDescent="0.45">
      <c r="A1870" s="29">
        <v>45847</v>
      </c>
      <c r="B1870" s="13">
        <v>7290000292915</v>
      </c>
      <c r="C1870" t="s">
        <v>22</v>
      </c>
      <c r="D1870">
        <v>2</v>
      </c>
    </row>
    <row r="1871" spans="1:4" x14ac:dyDescent="0.45">
      <c r="A1871" s="29">
        <v>45847</v>
      </c>
      <c r="B1871" s="13">
        <v>7290000294780</v>
      </c>
      <c r="C1871" t="s">
        <v>22</v>
      </c>
      <c r="D1871">
        <v>5</v>
      </c>
    </row>
    <row r="1872" spans="1:4" x14ac:dyDescent="0.45">
      <c r="A1872" s="29">
        <v>45847</v>
      </c>
      <c r="B1872" s="13">
        <v>7290000295367</v>
      </c>
      <c r="C1872" t="s">
        <v>22</v>
      </c>
      <c r="D1872">
        <v>1</v>
      </c>
    </row>
    <row r="1873" spans="1:4" x14ac:dyDescent="0.45">
      <c r="A1873" s="29">
        <v>45847</v>
      </c>
      <c r="B1873" s="13">
        <v>7290000295541</v>
      </c>
      <c r="C1873" t="s">
        <v>22</v>
      </c>
      <c r="D1873">
        <v>0</v>
      </c>
    </row>
    <row r="1874" spans="1:4" x14ac:dyDescent="0.45">
      <c r="A1874" s="29">
        <v>45847</v>
      </c>
      <c r="B1874" s="13">
        <v>7290001246610</v>
      </c>
      <c r="C1874" t="s">
        <v>22</v>
      </c>
      <c r="D1874">
        <v>2</v>
      </c>
    </row>
    <row r="1875" spans="1:4" x14ac:dyDescent="0.45">
      <c r="A1875" s="29">
        <v>45847</v>
      </c>
      <c r="B1875" s="13">
        <v>7290005424700</v>
      </c>
      <c r="C1875" t="s">
        <v>22</v>
      </c>
      <c r="D1875">
        <v>1</v>
      </c>
    </row>
    <row r="1876" spans="1:4" x14ac:dyDescent="0.45">
      <c r="A1876" s="29">
        <v>45847</v>
      </c>
      <c r="B1876" s="13">
        <v>7290005425110</v>
      </c>
      <c r="C1876" t="s">
        <v>22</v>
      </c>
      <c r="D1876">
        <v>1</v>
      </c>
    </row>
    <row r="1877" spans="1:4" x14ac:dyDescent="0.45">
      <c r="A1877" s="29">
        <v>45847</v>
      </c>
      <c r="B1877" s="13">
        <v>7290005425196</v>
      </c>
      <c r="C1877" t="s">
        <v>22</v>
      </c>
      <c r="D1877">
        <v>1</v>
      </c>
    </row>
    <row r="1878" spans="1:4" x14ac:dyDescent="0.45">
      <c r="A1878" s="29">
        <v>45847</v>
      </c>
      <c r="B1878" s="13">
        <v>7290012116025</v>
      </c>
      <c r="C1878" t="s">
        <v>22</v>
      </c>
      <c r="D1878">
        <v>1</v>
      </c>
    </row>
    <row r="1879" spans="1:4" x14ac:dyDescent="0.45">
      <c r="A1879" s="29">
        <v>45847</v>
      </c>
      <c r="B1879" s="13">
        <v>7290012117534</v>
      </c>
      <c r="C1879" t="s">
        <v>22</v>
      </c>
      <c r="D1879">
        <v>2</v>
      </c>
    </row>
    <row r="1880" spans="1:4" x14ac:dyDescent="0.45">
      <c r="A1880" s="29">
        <v>45847</v>
      </c>
      <c r="B1880" s="13">
        <v>7290013268204</v>
      </c>
      <c r="C1880" t="s">
        <v>22</v>
      </c>
      <c r="D1880">
        <v>0</v>
      </c>
    </row>
    <row r="1881" spans="1:4" x14ac:dyDescent="0.45">
      <c r="A1881" s="29">
        <v>45847</v>
      </c>
      <c r="B1881" s="13">
        <v>7290013268891</v>
      </c>
      <c r="C1881" t="s">
        <v>22</v>
      </c>
      <c r="D1881">
        <v>2</v>
      </c>
    </row>
    <row r="1882" spans="1:4" x14ac:dyDescent="0.45">
      <c r="A1882" s="29">
        <v>45847</v>
      </c>
      <c r="B1882" s="13">
        <v>7290013269003</v>
      </c>
      <c r="C1882" t="s">
        <v>22</v>
      </c>
      <c r="D1882">
        <v>2</v>
      </c>
    </row>
    <row r="1883" spans="1:4" x14ac:dyDescent="0.45">
      <c r="A1883" s="29">
        <v>45847</v>
      </c>
      <c r="B1883" s="13">
        <v>7290014397453</v>
      </c>
      <c r="C1883" t="s">
        <v>22</v>
      </c>
      <c r="D1883">
        <v>1</v>
      </c>
    </row>
    <row r="1884" spans="1:4" x14ac:dyDescent="0.45">
      <c r="A1884" s="29">
        <v>45847</v>
      </c>
      <c r="B1884" s="13">
        <v>7290019274483</v>
      </c>
      <c r="C1884" t="s">
        <v>22</v>
      </c>
      <c r="D1884">
        <v>2</v>
      </c>
    </row>
    <row r="1885" spans="1:4" x14ac:dyDescent="0.45">
      <c r="A1885" s="29">
        <v>45847</v>
      </c>
      <c r="B1885" s="13">
        <v>7290019274490</v>
      </c>
      <c r="C1885" t="s">
        <v>22</v>
      </c>
      <c r="D1885">
        <v>1</v>
      </c>
    </row>
    <row r="1886" spans="1:4" x14ac:dyDescent="0.45">
      <c r="A1886" s="29">
        <v>45847</v>
      </c>
      <c r="B1886" s="13">
        <v>7290019611325</v>
      </c>
      <c r="C1886" t="s">
        <v>22</v>
      </c>
      <c r="D1886">
        <v>1</v>
      </c>
    </row>
    <row r="1887" spans="1:4" x14ac:dyDescent="0.45">
      <c r="A1887" s="29">
        <v>45847</v>
      </c>
      <c r="B1887" s="13">
        <v>7290103702489</v>
      </c>
      <c r="C1887" t="s">
        <v>22</v>
      </c>
      <c r="D1887">
        <v>5</v>
      </c>
    </row>
    <row r="1888" spans="1:4" x14ac:dyDescent="0.45">
      <c r="A1888" s="29">
        <v>45847</v>
      </c>
      <c r="B1888" s="13">
        <v>7290103703370</v>
      </c>
      <c r="C1888" t="s">
        <v>22</v>
      </c>
      <c r="D1888">
        <v>4</v>
      </c>
    </row>
    <row r="1889" spans="1:4" x14ac:dyDescent="0.45">
      <c r="A1889" s="29">
        <v>45847</v>
      </c>
      <c r="B1889" s="13">
        <v>7290103704155</v>
      </c>
      <c r="C1889" t="s">
        <v>22</v>
      </c>
      <c r="D1889">
        <v>5</v>
      </c>
    </row>
    <row r="1890" spans="1:4" x14ac:dyDescent="0.45">
      <c r="A1890" s="29">
        <v>45847</v>
      </c>
      <c r="B1890" s="13">
        <v>7290103704179</v>
      </c>
      <c r="C1890" t="s">
        <v>22</v>
      </c>
      <c r="D1890">
        <v>4</v>
      </c>
    </row>
    <row r="1891" spans="1:4" x14ac:dyDescent="0.45">
      <c r="A1891" s="29">
        <v>45847</v>
      </c>
      <c r="B1891" s="13">
        <v>7290103704919</v>
      </c>
      <c r="C1891" t="s">
        <v>22</v>
      </c>
      <c r="D1891">
        <v>5</v>
      </c>
    </row>
    <row r="1892" spans="1:4" x14ac:dyDescent="0.45">
      <c r="A1892" s="29">
        <v>45847</v>
      </c>
      <c r="B1892" s="13">
        <v>7290107280099</v>
      </c>
      <c r="C1892" t="s">
        <v>22</v>
      </c>
      <c r="D1892">
        <v>0</v>
      </c>
    </row>
    <row r="1893" spans="1:4" x14ac:dyDescent="0.45">
      <c r="A1893" s="29">
        <v>45847</v>
      </c>
      <c r="B1893" s="13">
        <v>7290108351699</v>
      </c>
      <c r="C1893" t="s">
        <v>22</v>
      </c>
      <c r="D1893">
        <v>3</v>
      </c>
    </row>
    <row r="1894" spans="1:4" x14ac:dyDescent="0.45">
      <c r="A1894" s="29">
        <v>45847</v>
      </c>
      <c r="B1894" s="13">
        <v>7290108352702</v>
      </c>
      <c r="C1894" t="s">
        <v>22</v>
      </c>
      <c r="D1894">
        <v>1</v>
      </c>
    </row>
    <row r="1895" spans="1:4" x14ac:dyDescent="0.45">
      <c r="A1895" s="29">
        <v>45847</v>
      </c>
      <c r="B1895" s="13">
        <v>7290108356298</v>
      </c>
      <c r="C1895" t="s">
        <v>22</v>
      </c>
      <c r="D1895">
        <v>2</v>
      </c>
    </row>
    <row r="1896" spans="1:4" x14ac:dyDescent="0.45">
      <c r="A1896" s="29">
        <v>45847</v>
      </c>
      <c r="B1896" s="13">
        <v>7290108356700</v>
      </c>
      <c r="C1896" t="s">
        <v>22</v>
      </c>
      <c r="D1896">
        <v>0</v>
      </c>
    </row>
    <row r="1897" spans="1:4" x14ac:dyDescent="0.45">
      <c r="A1897" s="29">
        <v>45847</v>
      </c>
      <c r="B1897" s="13">
        <v>7290108356717</v>
      </c>
      <c r="C1897" t="s">
        <v>22</v>
      </c>
      <c r="D1897">
        <v>2</v>
      </c>
    </row>
    <row r="1898" spans="1:4" x14ac:dyDescent="0.45">
      <c r="A1898" s="29">
        <v>45847</v>
      </c>
      <c r="B1898" s="13">
        <v>7290108356724</v>
      </c>
      <c r="C1898" t="s">
        <v>22</v>
      </c>
      <c r="D1898">
        <v>2</v>
      </c>
    </row>
    <row r="1899" spans="1:4" x14ac:dyDescent="0.45">
      <c r="A1899" s="29">
        <v>45847</v>
      </c>
      <c r="B1899" s="13">
        <v>7290108357240</v>
      </c>
      <c r="C1899" t="s">
        <v>22</v>
      </c>
      <c r="D1899">
        <v>2</v>
      </c>
    </row>
    <row r="1900" spans="1:4" x14ac:dyDescent="0.45">
      <c r="A1900" s="29">
        <v>45847</v>
      </c>
      <c r="B1900" s="13">
        <v>7290108357288</v>
      </c>
      <c r="C1900" t="s">
        <v>22</v>
      </c>
      <c r="D1900">
        <v>4</v>
      </c>
    </row>
    <row r="1901" spans="1:4" x14ac:dyDescent="0.45">
      <c r="A1901" s="29">
        <v>45847</v>
      </c>
      <c r="B1901" s="13">
        <v>7290108357844</v>
      </c>
      <c r="C1901" t="s">
        <v>22</v>
      </c>
      <c r="D1901">
        <v>3</v>
      </c>
    </row>
    <row r="1902" spans="1:4" x14ac:dyDescent="0.45">
      <c r="A1902" s="29">
        <v>45847</v>
      </c>
      <c r="B1902" s="13">
        <v>7290108359077</v>
      </c>
      <c r="C1902" t="s">
        <v>22</v>
      </c>
      <c r="D1902">
        <v>0</v>
      </c>
    </row>
    <row r="1903" spans="1:4" x14ac:dyDescent="0.45">
      <c r="A1903" s="29">
        <v>45847</v>
      </c>
      <c r="B1903" s="13">
        <v>7290108359176</v>
      </c>
      <c r="C1903" t="s">
        <v>22</v>
      </c>
      <c r="D1903">
        <v>1</v>
      </c>
    </row>
    <row r="1904" spans="1:4" x14ac:dyDescent="0.45">
      <c r="A1904" s="29">
        <v>45847</v>
      </c>
      <c r="B1904" s="13">
        <v>7290108359190</v>
      </c>
      <c r="C1904" t="s">
        <v>22</v>
      </c>
      <c r="D1904">
        <v>1</v>
      </c>
    </row>
    <row r="1905" spans="1:4" x14ac:dyDescent="0.45">
      <c r="A1905" s="29">
        <v>45847</v>
      </c>
      <c r="B1905" s="13">
        <v>8001090184375</v>
      </c>
      <c r="C1905" t="s">
        <v>22</v>
      </c>
      <c r="D1905">
        <v>2</v>
      </c>
    </row>
    <row r="1906" spans="1:4" x14ac:dyDescent="0.45">
      <c r="A1906" s="29">
        <v>45847</v>
      </c>
      <c r="B1906" s="13">
        <v>8001090184412</v>
      </c>
      <c r="C1906" t="s">
        <v>22</v>
      </c>
      <c r="D1906">
        <v>4</v>
      </c>
    </row>
    <row r="1907" spans="1:4" x14ac:dyDescent="0.45">
      <c r="A1907" s="29">
        <v>45847</v>
      </c>
      <c r="B1907" s="13">
        <v>8001841625362</v>
      </c>
      <c r="C1907" t="s">
        <v>22</v>
      </c>
      <c r="D1907">
        <v>2</v>
      </c>
    </row>
    <row r="1908" spans="1:4" x14ac:dyDescent="0.45">
      <c r="A1908" s="29">
        <v>45847</v>
      </c>
      <c r="B1908" s="13">
        <v>8001841893990</v>
      </c>
      <c r="C1908" t="s">
        <v>22</v>
      </c>
      <c r="D1908">
        <v>1</v>
      </c>
    </row>
    <row r="1909" spans="1:4" x14ac:dyDescent="0.45">
      <c r="A1909" s="29">
        <v>45847</v>
      </c>
      <c r="B1909" s="13">
        <v>8006540429327</v>
      </c>
      <c r="C1909" t="s">
        <v>22</v>
      </c>
      <c r="D1909">
        <v>4</v>
      </c>
    </row>
    <row r="1910" spans="1:4" x14ac:dyDescent="0.45">
      <c r="A1910" s="29">
        <v>45847</v>
      </c>
      <c r="B1910" s="13">
        <v>8700216163811</v>
      </c>
      <c r="C1910" t="s">
        <v>22</v>
      </c>
      <c r="D1910">
        <v>5</v>
      </c>
    </row>
    <row r="1911" spans="1:4" x14ac:dyDescent="0.45">
      <c r="A1911" s="29">
        <v>45847</v>
      </c>
      <c r="B1911" s="13">
        <v>8700216236034</v>
      </c>
      <c r="C1911" t="s">
        <v>22</v>
      </c>
      <c r="D1911">
        <v>1</v>
      </c>
    </row>
    <row r="1912" spans="1:4" x14ac:dyDescent="0.45">
      <c r="A1912" s="29">
        <v>45847</v>
      </c>
      <c r="B1912" s="13">
        <v>8700216236751</v>
      </c>
      <c r="C1912" t="s">
        <v>22</v>
      </c>
      <c r="D1912">
        <v>1</v>
      </c>
    </row>
    <row r="1913" spans="1:4" x14ac:dyDescent="0.45">
      <c r="A1913" s="29">
        <v>45848</v>
      </c>
      <c r="B1913" s="13">
        <v>4084500088917</v>
      </c>
      <c r="C1913" t="s">
        <v>22</v>
      </c>
      <c r="D1913">
        <v>5</v>
      </c>
    </row>
    <row r="1914" spans="1:4" x14ac:dyDescent="0.45">
      <c r="A1914" s="29">
        <v>45848</v>
      </c>
      <c r="B1914" s="13">
        <v>4084500853836</v>
      </c>
      <c r="C1914" t="s">
        <v>22</v>
      </c>
      <c r="D1914">
        <v>4</v>
      </c>
    </row>
    <row r="1915" spans="1:4" x14ac:dyDescent="0.45">
      <c r="A1915" s="29">
        <v>45848</v>
      </c>
      <c r="B1915" s="13">
        <v>7290000286921</v>
      </c>
      <c r="C1915" t="s">
        <v>22</v>
      </c>
      <c r="D1915">
        <v>1</v>
      </c>
    </row>
    <row r="1916" spans="1:4" x14ac:dyDescent="0.45">
      <c r="A1916" s="29">
        <v>45848</v>
      </c>
      <c r="B1916" s="13">
        <v>7290000288024</v>
      </c>
      <c r="C1916" t="s">
        <v>22</v>
      </c>
      <c r="D1916">
        <v>5</v>
      </c>
    </row>
    <row r="1917" spans="1:4" x14ac:dyDescent="0.45">
      <c r="A1917" s="29">
        <v>45848</v>
      </c>
      <c r="B1917" s="13">
        <v>7290000288307</v>
      </c>
      <c r="C1917" t="s">
        <v>22</v>
      </c>
      <c r="D1917">
        <v>1</v>
      </c>
    </row>
    <row r="1918" spans="1:4" x14ac:dyDescent="0.45">
      <c r="A1918" s="29">
        <v>45848</v>
      </c>
      <c r="B1918" s="13">
        <v>7290000288659</v>
      </c>
      <c r="C1918" t="s">
        <v>22</v>
      </c>
      <c r="D1918">
        <v>1</v>
      </c>
    </row>
    <row r="1919" spans="1:4" x14ac:dyDescent="0.45">
      <c r="A1919" s="29">
        <v>45848</v>
      </c>
      <c r="B1919" s="13">
        <v>7290000292915</v>
      </c>
      <c r="C1919" t="s">
        <v>22</v>
      </c>
      <c r="D1919">
        <v>2</v>
      </c>
    </row>
    <row r="1920" spans="1:4" x14ac:dyDescent="0.45">
      <c r="A1920" s="29">
        <v>45848</v>
      </c>
      <c r="B1920" s="13">
        <v>7290000294780</v>
      </c>
      <c r="C1920" t="s">
        <v>22</v>
      </c>
      <c r="D1920">
        <v>5</v>
      </c>
    </row>
    <row r="1921" spans="1:4" x14ac:dyDescent="0.45">
      <c r="A1921" s="29">
        <v>45848</v>
      </c>
      <c r="B1921" s="13">
        <v>7290000295367</v>
      </c>
      <c r="C1921" t="s">
        <v>22</v>
      </c>
      <c r="D1921">
        <v>1</v>
      </c>
    </row>
    <row r="1922" spans="1:4" x14ac:dyDescent="0.45">
      <c r="A1922" s="29">
        <v>45848</v>
      </c>
      <c r="B1922" s="13">
        <v>7290000295541</v>
      </c>
      <c r="C1922" t="s">
        <v>22</v>
      </c>
      <c r="D1922">
        <v>1</v>
      </c>
    </row>
    <row r="1923" spans="1:4" x14ac:dyDescent="0.45">
      <c r="A1923" s="29">
        <v>45848</v>
      </c>
      <c r="B1923" s="13">
        <v>7290001246610</v>
      </c>
      <c r="C1923" t="s">
        <v>22</v>
      </c>
      <c r="D1923">
        <v>1</v>
      </c>
    </row>
    <row r="1924" spans="1:4" x14ac:dyDescent="0.45">
      <c r="A1924" s="29">
        <v>45848</v>
      </c>
      <c r="B1924" s="13">
        <v>7290005424700</v>
      </c>
      <c r="C1924" t="s">
        <v>22</v>
      </c>
      <c r="D1924">
        <v>1</v>
      </c>
    </row>
    <row r="1925" spans="1:4" x14ac:dyDescent="0.45">
      <c r="A1925" s="29">
        <v>45848</v>
      </c>
      <c r="B1925" s="13">
        <v>7290005425110</v>
      </c>
      <c r="C1925" t="s">
        <v>22</v>
      </c>
      <c r="D1925">
        <v>1</v>
      </c>
    </row>
    <row r="1926" spans="1:4" x14ac:dyDescent="0.45">
      <c r="A1926" s="29">
        <v>45848</v>
      </c>
      <c r="B1926" s="13">
        <v>7290005425196</v>
      </c>
      <c r="C1926" t="s">
        <v>22</v>
      </c>
      <c r="D1926">
        <v>2</v>
      </c>
    </row>
    <row r="1927" spans="1:4" x14ac:dyDescent="0.45">
      <c r="A1927" s="29">
        <v>45848</v>
      </c>
      <c r="B1927" s="13">
        <v>7290012116025</v>
      </c>
      <c r="C1927" t="s">
        <v>22</v>
      </c>
      <c r="D1927">
        <v>2</v>
      </c>
    </row>
    <row r="1928" spans="1:4" x14ac:dyDescent="0.45">
      <c r="A1928" s="29">
        <v>45848</v>
      </c>
      <c r="B1928" s="13">
        <v>7290012117534</v>
      </c>
      <c r="C1928" t="s">
        <v>22</v>
      </c>
      <c r="D1928">
        <v>1</v>
      </c>
    </row>
    <row r="1929" spans="1:4" x14ac:dyDescent="0.45">
      <c r="A1929" s="29">
        <v>45848</v>
      </c>
      <c r="B1929" s="13">
        <v>7290013268204</v>
      </c>
      <c r="C1929" t="s">
        <v>22</v>
      </c>
      <c r="D1929">
        <v>1</v>
      </c>
    </row>
    <row r="1930" spans="1:4" x14ac:dyDescent="0.45">
      <c r="A1930" s="29">
        <v>45848</v>
      </c>
      <c r="B1930" s="13">
        <v>7290013268891</v>
      </c>
      <c r="C1930" t="s">
        <v>22</v>
      </c>
      <c r="D1930">
        <v>2</v>
      </c>
    </row>
    <row r="1931" spans="1:4" x14ac:dyDescent="0.45">
      <c r="A1931" s="29">
        <v>45848</v>
      </c>
      <c r="B1931" s="13">
        <v>7290013269003</v>
      </c>
      <c r="C1931" t="s">
        <v>22</v>
      </c>
      <c r="D1931">
        <v>1</v>
      </c>
    </row>
    <row r="1932" spans="1:4" x14ac:dyDescent="0.45">
      <c r="A1932" s="29">
        <v>45848</v>
      </c>
      <c r="B1932" s="13">
        <v>7290014397453</v>
      </c>
      <c r="C1932" t="s">
        <v>22</v>
      </c>
      <c r="D1932">
        <v>2</v>
      </c>
    </row>
    <row r="1933" spans="1:4" x14ac:dyDescent="0.45">
      <c r="A1933" s="29">
        <v>45848</v>
      </c>
      <c r="B1933" s="13">
        <v>7290019274483</v>
      </c>
      <c r="C1933" t="s">
        <v>22</v>
      </c>
      <c r="D1933">
        <v>1</v>
      </c>
    </row>
    <row r="1934" spans="1:4" x14ac:dyDescent="0.45">
      <c r="A1934" s="29">
        <v>45848</v>
      </c>
      <c r="B1934" s="13">
        <v>7290019274490</v>
      </c>
      <c r="C1934" t="s">
        <v>22</v>
      </c>
      <c r="D1934">
        <v>1</v>
      </c>
    </row>
    <row r="1935" spans="1:4" x14ac:dyDescent="0.45">
      <c r="A1935" s="29">
        <v>45848</v>
      </c>
      <c r="B1935" s="13">
        <v>7290019611325</v>
      </c>
      <c r="C1935" t="s">
        <v>22</v>
      </c>
      <c r="D1935">
        <v>2</v>
      </c>
    </row>
    <row r="1936" spans="1:4" x14ac:dyDescent="0.45">
      <c r="A1936" s="29">
        <v>45848</v>
      </c>
      <c r="B1936" s="13">
        <v>7290103702489</v>
      </c>
      <c r="C1936" t="s">
        <v>22</v>
      </c>
      <c r="D1936">
        <v>4</v>
      </c>
    </row>
    <row r="1937" spans="1:4" x14ac:dyDescent="0.45">
      <c r="A1937" s="29">
        <v>45848</v>
      </c>
      <c r="B1937" s="13">
        <v>7290103703370</v>
      </c>
      <c r="C1937" t="s">
        <v>22</v>
      </c>
      <c r="D1937">
        <v>4</v>
      </c>
    </row>
    <row r="1938" spans="1:4" x14ac:dyDescent="0.45">
      <c r="A1938" s="29">
        <v>45848</v>
      </c>
      <c r="B1938" s="13">
        <v>7290103704155</v>
      </c>
      <c r="C1938" t="s">
        <v>22</v>
      </c>
      <c r="D1938">
        <v>4</v>
      </c>
    </row>
    <row r="1939" spans="1:4" x14ac:dyDescent="0.45">
      <c r="A1939" s="29">
        <v>45848</v>
      </c>
      <c r="B1939" s="13">
        <v>7290103704179</v>
      </c>
      <c r="C1939" t="s">
        <v>22</v>
      </c>
      <c r="D1939">
        <v>5</v>
      </c>
    </row>
    <row r="1940" spans="1:4" x14ac:dyDescent="0.45">
      <c r="A1940" s="29">
        <v>45848</v>
      </c>
      <c r="B1940" s="13">
        <v>7290103704919</v>
      </c>
      <c r="C1940" t="s">
        <v>22</v>
      </c>
      <c r="D1940">
        <v>4</v>
      </c>
    </row>
    <row r="1941" spans="1:4" x14ac:dyDescent="0.45">
      <c r="A1941" s="29">
        <v>45848</v>
      </c>
      <c r="B1941" s="13">
        <v>7290107280099</v>
      </c>
      <c r="C1941" t="s">
        <v>22</v>
      </c>
      <c r="D1941">
        <v>0</v>
      </c>
    </row>
    <row r="1942" spans="1:4" x14ac:dyDescent="0.45">
      <c r="A1942" s="29">
        <v>45848</v>
      </c>
      <c r="B1942" s="13">
        <v>7290108351699</v>
      </c>
      <c r="C1942" t="s">
        <v>22</v>
      </c>
      <c r="D1942">
        <v>2</v>
      </c>
    </row>
    <row r="1943" spans="1:4" x14ac:dyDescent="0.45">
      <c r="A1943" s="29">
        <v>45848</v>
      </c>
      <c r="B1943" s="13">
        <v>7290108352702</v>
      </c>
      <c r="C1943" t="s">
        <v>22</v>
      </c>
      <c r="D1943">
        <v>0</v>
      </c>
    </row>
    <row r="1944" spans="1:4" x14ac:dyDescent="0.45">
      <c r="A1944" s="29">
        <v>45848</v>
      </c>
      <c r="B1944" s="13">
        <v>7290108356298</v>
      </c>
      <c r="C1944" t="s">
        <v>22</v>
      </c>
      <c r="D1944">
        <v>1</v>
      </c>
    </row>
    <row r="1945" spans="1:4" x14ac:dyDescent="0.45">
      <c r="A1945" s="29">
        <v>45848</v>
      </c>
      <c r="B1945" s="13">
        <v>7290108356700</v>
      </c>
      <c r="C1945" t="s">
        <v>22</v>
      </c>
      <c r="D1945">
        <v>1</v>
      </c>
    </row>
    <row r="1946" spans="1:4" x14ac:dyDescent="0.45">
      <c r="A1946" s="29">
        <v>45848</v>
      </c>
      <c r="B1946" s="13">
        <v>7290108356717</v>
      </c>
      <c r="C1946" t="s">
        <v>22</v>
      </c>
      <c r="D1946">
        <v>1</v>
      </c>
    </row>
    <row r="1947" spans="1:4" x14ac:dyDescent="0.45">
      <c r="A1947" s="29">
        <v>45848</v>
      </c>
      <c r="B1947" s="13">
        <v>7290108356724</v>
      </c>
      <c r="C1947" t="s">
        <v>22</v>
      </c>
      <c r="D1947">
        <v>1</v>
      </c>
    </row>
    <row r="1948" spans="1:4" x14ac:dyDescent="0.45">
      <c r="A1948" s="29">
        <v>45848</v>
      </c>
      <c r="B1948" s="13">
        <v>7290108357240</v>
      </c>
      <c r="C1948" t="s">
        <v>22</v>
      </c>
      <c r="D1948">
        <v>2</v>
      </c>
    </row>
    <row r="1949" spans="1:4" x14ac:dyDescent="0.45">
      <c r="A1949" s="29">
        <v>45848</v>
      </c>
      <c r="B1949" s="13">
        <v>7290108357288</v>
      </c>
      <c r="C1949" t="s">
        <v>22</v>
      </c>
      <c r="D1949">
        <v>5</v>
      </c>
    </row>
    <row r="1950" spans="1:4" x14ac:dyDescent="0.45">
      <c r="A1950" s="29">
        <v>45848</v>
      </c>
      <c r="B1950" s="13">
        <v>7290108357844</v>
      </c>
      <c r="C1950" t="s">
        <v>22</v>
      </c>
      <c r="D1950">
        <v>3</v>
      </c>
    </row>
    <row r="1951" spans="1:4" x14ac:dyDescent="0.45">
      <c r="A1951" s="29">
        <v>45848</v>
      </c>
      <c r="B1951" s="13">
        <v>7290108359077</v>
      </c>
      <c r="C1951" t="s">
        <v>22</v>
      </c>
      <c r="D1951">
        <v>0</v>
      </c>
    </row>
    <row r="1952" spans="1:4" x14ac:dyDescent="0.45">
      <c r="A1952" s="29">
        <v>45848</v>
      </c>
      <c r="B1952" s="13">
        <v>7290108359176</v>
      </c>
      <c r="C1952" t="s">
        <v>22</v>
      </c>
      <c r="D1952">
        <v>1</v>
      </c>
    </row>
    <row r="1953" spans="1:4" x14ac:dyDescent="0.45">
      <c r="A1953" s="29">
        <v>45848</v>
      </c>
      <c r="B1953" s="13">
        <v>7290108359190</v>
      </c>
      <c r="C1953" t="s">
        <v>22</v>
      </c>
      <c r="D1953">
        <v>1</v>
      </c>
    </row>
    <row r="1954" spans="1:4" x14ac:dyDescent="0.45">
      <c r="A1954" s="29">
        <v>45848</v>
      </c>
      <c r="B1954" s="13">
        <v>8001090184375</v>
      </c>
      <c r="C1954" t="s">
        <v>22</v>
      </c>
      <c r="D1954">
        <v>2</v>
      </c>
    </row>
    <row r="1955" spans="1:4" x14ac:dyDescent="0.45">
      <c r="A1955" s="29">
        <v>45848</v>
      </c>
      <c r="B1955" s="13">
        <v>8001090184412</v>
      </c>
      <c r="C1955" t="s">
        <v>22</v>
      </c>
      <c r="D1955">
        <v>4</v>
      </c>
    </row>
    <row r="1956" spans="1:4" x14ac:dyDescent="0.45">
      <c r="A1956" s="29">
        <v>45848</v>
      </c>
      <c r="B1956" s="13">
        <v>8001841625362</v>
      </c>
      <c r="C1956" t="s">
        <v>22</v>
      </c>
      <c r="D1956">
        <v>1</v>
      </c>
    </row>
    <row r="1957" spans="1:4" x14ac:dyDescent="0.45">
      <c r="A1957" s="29">
        <v>45848</v>
      </c>
      <c r="B1957" s="13">
        <v>8001841893990</v>
      </c>
      <c r="C1957" t="s">
        <v>22</v>
      </c>
      <c r="D1957">
        <v>1</v>
      </c>
    </row>
    <row r="1958" spans="1:4" x14ac:dyDescent="0.45">
      <c r="A1958" s="29">
        <v>45848</v>
      </c>
      <c r="B1958" s="13">
        <v>8006540429327</v>
      </c>
      <c r="C1958" t="s">
        <v>22</v>
      </c>
      <c r="D1958">
        <v>4</v>
      </c>
    </row>
    <row r="1959" spans="1:4" x14ac:dyDescent="0.45">
      <c r="A1959" s="29">
        <v>45848</v>
      </c>
      <c r="B1959" s="13">
        <v>8700216163811</v>
      </c>
      <c r="C1959" t="s">
        <v>22</v>
      </c>
      <c r="D1959">
        <v>5</v>
      </c>
    </row>
    <row r="1960" spans="1:4" x14ac:dyDescent="0.45">
      <c r="A1960" s="29">
        <v>45848</v>
      </c>
      <c r="B1960" s="13">
        <v>8700216236034</v>
      </c>
      <c r="C1960" t="s">
        <v>22</v>
      </c>
      <c r="D1960">
        <v>2</v>
      </c>
    </row>
    <row r="1961" spans="1:4" x14ac:dyDescent="0.45">
      <c r="A1961" s="29">
        <v>45848</v>
      </c>
      <c r="B1961" s="13">
        <v>8700216236751</v>
      </c>
      <c r="C1961" t="s">
        <v>22</v>
      </c>
      <c r="D1961">
        <v>2</v>
      </c>
    </row>
    <row r="1962" spans="1:4" x14ac:dyDescent="0.45">
      <c r="A1962" s="29">
        <v>45849</v>
      </c>
      <c r="B1962" s="13">
        <v>4084500088917</v>
      </c>
      <c r="C1962" t="s">
        <v>22</v>
      </c>
      <c r="D1962">
        <v>12</v>
      </c>
    </row>
    <row r="1963" spans="1:4" x14ac:dyDescent="0.45">
      <c r="A1963" s="29">
        <v>45849</v>
      </c>
      <c r="B1963" s="13">
        <v>4084500853836</v>
      </c>
      <c r="C1963" t="s">
        <v>22</v>
      </c>
      <c r="D1963">
        <v>12</v>
      </c>
    </row>
    <row r="1964" spans="1:4" x14ac:dyDescent="0.45">
      <c r="A1964" s="29">
        <v>45849</v>
      </c>
      <c r="B1964" s="13">
        <v>7290000286921</v>
      </c>
      <c r="C1964" t="s">
        <v>22</v>
      </c>
      <c r="D1964">
        <v>2</v>
      </c>
    </row>
    <row r="1965" spans="1:4" x14ac:dyDescent="0.45">
      <c r="A1965" s="29">
        <v>45849</v>
      </c>
      <c r="B1965" s="13">
        <v>7290000288024</v>
      </c>
      <c r="C1965" t="s">
        <v>22</v>
      </c>
      <c r="D1965">
        <v>12</v>
      </c>
    </row>
    <row r="1966" spans="1:4" x14ac:dyDescent="0.45">
      <c r="A1966" s="29">
        <v>45849</v>
      </c>
      <c r="B1966" s="13">
        <v>7290000288307</v>
      </c>
      <c r="C1966" t="s">
        <v>22</v>
      </c>
      <c r="D1966">
        <v>3</v>
      </c>
    </row>
    <row r="1967" spans="1:4" x14ac:dyDescent="0.45">
      <c r="A1967" s="29">
        <v>45849</v>
      </c>
      <c r="B1967" s="13">
        <v>7290000288659</v>
      </c>
      <c r="C1967" t="s">
        <v>22</v>
      </c>
      <c r="D1967">
        <v>2</v>
      </c>
    </row>
    <row r="1968" spans="1:4" x14ac:dyDescent="0.45">
      <c r="A1968" s="29">
        <v>45849</v>
      </c>
      <c r="B1968" s="13">
        <v>7290000292915</v>
      </c>
      <c r="C1968" t="s">
        <v>22</v>
      </c>
      <c r="D1968">
        <v>2</v>
      </c>
    </row>
    <row r="1969" spans="1:4" x14ac:dyDescent="0.45">
      <c r="A1969" s="29">
        <v>45849</v>
      </c>
      <c r="B1969" s="13">
        <v>7290000294780</v>
      </c>
      <c r="C1969" t="s">
        <v>22</v>
      </c>
      <c r="D1969">
        <v>16</v>
      </c>
    </row>
    <row r="1970" spans="1:4" x14ac:dyDescent="0.45">
      <c r="A1970" s="29">
        <v>45849</v>
      </c>
      <c r="B1970" s="13">
        <v>7290000295367</v>
      </c>
      <c r="C1970" t="s">
        <v>22</v>
      </c>
      <c r="D1970">
        <v>2</v>
      </c>
    </row>
    <row r="1971" spans="1:4" x14ac:dyDescent="0.45">
      <c r="A1971" s="29">
        <v>45849</v>
      </c>
      <c r="B1971" s="13">
        <v>7290000295541</v>
      </c>
      <c r="C1971" t="s">
        <v>22</v>
      </c>
      <c r="D1971">
        <v>2</v>
      </c>
    </row>
    <row r="1972" spans="1:4" x14ac:dyDescent="0.45">
      <c r="A1972" s="29">
        <v>45849</v>
      </c>
      <c r="B1972" s="13">
        <v>7290001246610</v>
      </c>
      <c r="C1972" t="s">
        <v>22</v>
      </c>
      <c r="D1972">
        <v>4</v>
      </c>
    </row>
    <row r="1973" spans="1:4" x14ac:dyDescent="0.45">
      <c r="A1973" s="29">
        <v>45849</v>
      </c>
      <c r="B1973" s="13">
        <v>7290005424700</v>
      </c>
      <c r="C1973" t="s">
        <v>22</v>
      </c>
      <c r="D1973">
        <v>4</v>
      </c>
    </row>
    <row r="1974" spans="1:4" x14ac:dyDescent="0.45">
      <c r="A1974" s="29">
        <v>45849</v>
      </c>
      <c r="B1974" s="13">
        <v>7290005425110</v>
      </c>
      <c r="C1974" t="s">
        <v>22</v>
      </c>
      <c r="D1974">
        <v>4</v>
      </c>
    </row>
    <row r="1975" spans="1:4" x14ac:dyDescent="0.45">
      <c r="A1975" s="29">
        <v>45849</v>
      </c>
      <c r="B1975" s="13">
        <v>7290005425196</v>
      </c>
      <c r="C1975" t="s">
        <v>22</v>
      </c>
      <c r="D1975">
        <v>2</v>
      </c>
    </row>
    <row r="1976" spans="1:4" x14ac:dyDescent="0.45">
      <c r="A1976" s="29">
        <v>45849</v>
      </c>
      <c r="B1976" s="13">
        <v>7290012116025</v>
      </c>
      <c r="C1976" t="s">
        <v>22</v>
      </c>
      <c r="D1976">
        <v>4</v>
      </c>
    </row>
    <row r="1977" spans="1:4" x14ac:dyDescent="0.45">
      <c r="A1977" s="29">
        <v>45849</v>
      </c>
      <c r="B1977" s="13">
        <v>7290012117534</v>
      </c>
      <c r="C1977" t="s">
        <v>22</v>
      </c>
      <c r="D1977">
        <v>4</v>
      </c>
    </row>
    <row r="1978" spans="1:4" x14ac:dyDescent="0.45">
      <c r="A1978" s="29">
        <v>45849</v>
      </c>
      <c r="B1978" s="13">
        <v>7290013268204</v>
      </c>
      <c r="C1978" t="s">
        <v>22</v>
      </c>
      <c r="D1978">
        <v>2</v>
      </c>
    </row>
    <row r="1979" spans="1:4" x14ac:dyDescent="0.45">
      <c r="A1979" s="29">
        <v>45849</v>
      </c>
      <c r="B1979" s="13">
        <v>7290013268891</v>
      </c>
      <c r="C1979" t="s">
        <v>22</v>
      </c>
      <c r="D1979">
        <v>2</v>
      </c>
    </row>
    <row r="1980" spans="1:4" x14ac:dyDescent="0.45">
      <c r="A1980" s="29">
        <v>45849</v>
      </c>
      <c r="B1980" s="13">
        <v>7290013269003</v>
      </c>
      <c r="C1980" t="s">
        <v>22</v>
      </c>
      <c r="D1980">
        <v>2</v>
      </c>
    </row>
    <row r="1981" spans="1:4" x14ac:dyDescent="0.45">
      <c r="A1981" s="29">
        <v>45849</v>
      </c>
      <c r="B1981" s="13">
        <v>7290014397453</v>
      </c>
      <c r="C1981" t="s">
        <v>22</v>
      </c>
      <c r="D1981">
        <v>4</v>
      </c>
    </row>
    <row r="1982" spans="1:4" x14ac:dyDescent="0.45">
      <c r="A1982" s="29">
        <v>45849</v>
      </c>
      <c r="B1982" s="13">
        <v>7290019274483</v>
      </c>
      <c r="C1982" t="s">
        <v>22</v>
      </c>
      <c r="D1982">
        <v>2</v>
      </c>
    </row>
    <row r="1983" spans="1:4" x14ac:dyDescent="0.45">
      <c r="A1983" s="29">
        <v>45849</v>
      </c>
      <c r="B1983" s="13">
        <v>7290019274490</v>
      </c>
      <c r="C1983" t="s">
        <v>22</v>
      </c>
      <c r="D1983">
        <v>4</v>
      </c>
    </row>
    <row r="1984" spans="1:4" x14ac:dyDescent="0.45">
      <c r="A1984" s="29">
        <v>45849</v>
      </c>
      <c r="B1984" s="13">
        <v>7290019611325</v>
      </c>
      <c r="C1984" t="s">
        <v>22</v>
      </c>
      <c r="D1984">
        <v>4</v>
      </c>
    </row>
    <row r="1985" spans="1:4" x14ac:dyDescent="0.45">
      <c r="A1985" s="29">
        <v>45849</v>
      </c>
      <c r="B1985" s="13">
        <v>7290103702489</v>
      </c>
      <c r="C1985" t="s">
        <v>22</v>
      </c>
      <c r="D1985">
        <v>12</v>
      </c>
    </row>
    <row r="1986" spans="1:4" x14ac:dyDescent="0.45">
      <c r="A1986" s="29">
        <v>45849</v>
      </c>
      <c r="B1986" s="13">
        <v>7290103703370</v>
      </c>
      <c r="C1986" t="s">
        <v>22</v>
      </c>
      <c r="D1986">
        <v>12</v>
      </c>
    </row>
    <row r="1987" spans="1:4" x14ac:dyDescent="0.45">
      <c r="A1987" s="29">
        <v>45849</v>
      </c>
      <c r="B1987" s="13">
        <v>7290103704155</v>
      </c>
      <c r="C1987" t="s">
        <v>22</v>
      </c>
      <c r="D1987">
        <v>16</v>
      </c>
    </row>
    <row r="1988" spans="1:4" x14ac:dyDescent="0.45">
      <c r="A1988" s="29">
        <v>45849</v>
      </c>
      <c r="B1988" s="13">
        <v>7290103704179</v>
      </c>
      <c r="C1988" t="s">
        <v>22</v>
      </c>
      <c r="D1988">
        <v>16</v>
      </c>
    </row>
    <row r="1989" spans="1:4" x14ac:dyDescent="0.45">
      <c r="A1989" s="29">
        <v>45849</v>
      </c>
      <c r="B1989" s="13">
        <v>7290103704919</v>
      </c>
      <c r="C1989" t="s">
        <v>22</v>
      </c>
      <c r="D1989">
        <v>12</v>
      </c>
    </row>
    <row r="1990" spans="1:4" x14ac:dyDescent="0.45">
      <c r="A1990" s="29">
        <v>45849</v>
      </c>
      <c r="B1990" s="13">
        <v>7290107280099</v>
      </c>
      <c r="C1990" t="s">
        <v>22</v>
      </c>
      <c r="D1990">
        <v>2</v>
      </c>
    </row>
    <row r="1991" spans="1:4" x14ac:dyDescent="0.45">
      <c r="A1991" s="29">
        <v>45849</v>
      </c>
      <c r="B1991" s="13">
        <v>7290108351699</v>
      </c>
      <c r="C1991" t="s">
        <v>22</v>
      </c>
      <c r="D1991">
        <v>2</v>
      </c>
    </row>
    <row r="1992" spans="1:4" x14ac:dyDescent="0.45">
      <c r="A1992" s="29">
        <v>45849</v>
      </c>
      <c r="B1992" s="13">
        <v>7290108352702</v>
      </c>
      <c r="C1992" t="s">
        <v>22</v>
      </c>
      <c r="D1992">
        <v>3</v>
      </c>
    </row>
    <row r="1993" spans="1:4" x14ac:dyDescent="0.45">
      <c r="A1993" s="29">
        <v>45849</v>
      </c>
      <c r="B1993" s="13">
        <v>7290108356298</v>
      </c>
      <c r="C1993" t="s">
        <v>22</v>
      </c>
      <c r="D1993">
        <v>2</v>
      </c>
    </row>
    <row r="1994" spans="1:4" x14ac:dyDescent="0.45">
      <c r="A1994" s="29">
        <v>45849</v>
      </c>
      <c r="B1994" s="13">
        <v>7290108356700</v>
      </c>
      <c r="C1994" t="s">
        <v>22</v>
      </c>
      <c r="D1994">
        <v>2</v>
      </c>
    </row>
    <row r="1995" spans="1:4" x14ac:dyDescent="0.45">
      <c r="A1995" s="29">
        <v>45849</v>
      </c>
      <c r="B1995" s="13">
        <v>7290108356717</v>
      </c>
      <c r="C1995" t="s">
        <v>22</v>
      </c>
      <c r="D1995">
        <v>2</v>
      </c>
    </row>
    <row r="1996" spans="1:4" x14ac:dyDescent="0.45">
      <c r="A1996" s="29">
        <v>45849</v>
      </c>
      <c r="B1996" s="13">
        <v>7290108356724</v>
      </c>
      <c r="C1996" t="s">
        <v>22</v>
      </c>
      <c r="D1996">
        <v>6</v>
      </c>
    </row>
    <row r="1997" spans="1:4" x14ac:dyDescent="0.45">
      <c r="A1997" s="29">
        <v>45849</v>
      </c>
      <c r="B1997" s="13">
        <v>7290108357240</v>
      </c>
      <c r="C1997" t="s">
        <v>22</v>
      </c>
      <c r="D1997">
        <v>4</v>
      </c>
    </row>
    <row r="1998" spans="1:4" x14ac:dyDescent="0.45">
      <c r="A1998" s="29">
        <v>45849</v>
      </c>
      <c r="B1998" s="13">
        <v>7290108357288</v>
      </c>
      <c r="C1998" t="s">
        <v>22</v>
      </c>
      <c r="D1998">
        <v>12</v>
      </c>
    </row>
    <row r="1999" spans="1:4" x14ac:dyDescent="0.45">
      <c r="A1999" s="29">
        <v>45849</v>
      </c>
      <c r="B1999" s="13">
        <v>7290108357844</v>
      </c>
      <c r="C1999" t="s">
        <v>22</v>
      </c>
      <c r="D1999">
        <v>2</v>
      </c>
    </row>
    <row r="2000" spans="1:4" x14ac:dyDescent="0.45">
      <c r="A2000" s="29">
        <v>45849</v>
      </c>
      <c r="B2000" s="13">
        <v>7290108359077</v>
      </c>
      <c r="C2000" t="s">
        <v>22</v>
      </c>
      <c r="D2000">
        <v>2</v>
      </c>
    </row>
    <row r="2001" spans="1:4" x14ac:dyDescent="0.45">
      <c r="A2001" s="29">
        <v>45849</v>
      </c>
      <c r="B2001" s="13">
        <v>7290108359176</v>
      </c>
      <c r="C2001" t="s">
        <v>22</v>
      </c>
      <c r="D2001">
        <v>3</v>
      </c>
    </row>
    <row r="2002" spans="1:4" x14ac:dyDescent="0.45">
      <c r="A2002" s="29">
        <v>45849</v>
      </c>
      <c r="B2002" s="13">
        <v>7290108359190</v>
      </c>
      <c r="C2002" t="s">
        <v>22</v>
      </c>
      <c r="D2002">
        <v>2</v>
      </c>
    </row>
    <row r="2003" spans="1:4" x14ac:dyDescent="0.45">
      <c r="A2003" s="29">
        <v>45849</v>
      </c>
      <c r="B2003" s="13">
        <v>8001090184375</v>
      </c>
      <c r="C2003" t="s">
        <v>22</v>
      </c>
      <c r="D2003">
        <v>3</v>
      </c>
    </row>
    <row r="2004" spans="1:4" x14ac:dyDescent="0.45">
      <c r="A2004" s="29">
        <v>45849</v>
      </c>
      <c r="B2004" s="13">
        <v>8001090184412</v>
      </c>
      <c r="C2004" t="s">
        <v>22</v>
      </c>
      <c r="D2004">
        <v>12</v>
      </c>
    </row>
    <row r="2005" spans="1:4" x14ac:dyDescent="0.45">
      <c r="A2005" s="29">
        <v>45849</v>
      </c>
      <c r="B2005" s="13">
        <v>8001841625362</v>
      </c>
      <c r="C2005" t="s">
        <v>22</v>
      </c>
      <c r="D2005">
        <v>2</v>
      </c>
    </row>
    <row r="2006" spans="1:4" x14ac:dyDescent="0.45">
      <c r="A2006" s="29">
        <v>45849</v>
      </c>
      <c r="B2006" s="13">
        <v>8001841893990</v>
      </c>
      <c r="C2006" t="s">
        <v>22</v>
      </c>
      <c r="D2006">
        <v>2</v>
      </c>
    </row>
    <row r="2007" spans="1:4" x14ac:dyDescent="0.45">
      <c r="A2007" s="29">
        <v>45849</v>
      </c>
      <c r="B2007" s="13">
        <v>8006540429327</v>
      </c>
      <c r="C2007" t="s">
        <v>22</v>
      </c>
      <c r="D2007">
        <v>12</v>
      </c>
    </row>
    <row r="2008" spans="1:4" x14ac:dyDescent="0.45">
      <c r="A2008" s="29">
        <v>45849</v>
      </c>
      <c r="B2008" s="13">
        <v>8700216163811</v>
      </c>
      <c r="C2008" t="s">
        <v>22</v>
      </c>
      <c r="D2008">
        <v>16</v>
      </c>
    </row>
    <row r="2009" spans="1:4" x14ac:dyDescent="0.45">
      <c r="A2009" s="29">
        <v>45849</v>
      </c>
      <c r="B2009" s="13">
        <v>8700216236034</v>
      </c>
      <c r="C2009" t="s">
        <v>22</v>
      </c>
      <c r="D2009">
        <v>2</v>
      </c>
    </row>
    <row r="2010" spans="1:4" x14ac:dyDescent="0.45">
      <c r="A2010" s="29">
        <v>45849</v>
      </c>
      <c r="B2010" s="13">
        <v>8700216236751</v>
      </c>
      <c r="C2010" t="s">
        <v>22</v>
      </c>
      <c r="D2010">
        <v>2</v>
      </c>
    </row>
    <row r="2011" spans="1:4" x14ac:dyDescent="0.45">
      <c r="A2011" s="29">
        <v>45850</v>
      </c>
      <c r="B2011" s="13">
        <v>4084500088917</v>
      </c>
      <c r="C2011" t="s">
        <v>22</v>
      </c>
      <c r="D2011">
        <v>10</v>
      </c>
    </row>
    <row r="2012" spans="1:4" x14ac:dyDescent="0.45">
      <c r="A2012" s="29">
        <v>45850</v>
      </c>
      <c r="B2012" s="13">
        <v>4084500853836</v>
      </c>
      <c r="C2012" t="s">
        <v>22</v>
      </c>
      <c r="D2012">
        <v>10</v>
      </c>
    </row>
    <row r="2013" spans="1:4" x14ac:dyDescent="0.45">
      <c r="A2013" s="29">
        <v>45850</v>
      </c>
      <c r="B2013" s="13">
        <v>7290000286921</v>
      </c>
      <c r="C2013" t="s">
        <v>22</v>
      </c>
      <c r="D2013">
        <v>2</v>
      </c>
    </row>
    <row r="2014" spans="1:4" x14ac:dyDescent="0.45">
      <c r="A2014" s="29">
        <v>45850</v>
      </c>
      <c r="B2014" s="13">
        <v>7290000288024</v>
      </c>
      <c r="C2014" t="s">
        <v>22</v>
      </c>
      <c r="D2014">
        <v>8</v>
      </c>
    </row>
    <row r="2015" spans="1:4" x14ac:dyDescent="0.45">
      <c r="A2015" s="29">
        <v>45850</v>
      </c>
      <c r="B2015" s="13">
        <v>7290000288307</v>
      </c>
      <c r="C2015" t="s">
        <v>22</v>
      </c>
      <c r="D2015">
        <v>3</v>
      </c>
    </row>
    <row r="2016" spans="1:4" x14ac:dyDescent="0.45">
      <c r="A2016" s="29">
        <v>45850</v>
      </c>
      <c r="B2016" s="13">
        <v>7290000288659</v>
      </c>
      <c r="C2016" t="s">
        <v>22</v>
      </c>
      <c r="D2016">
        <v>3</v>
      </c>
    </row>
    <row r="2017" spans="1:4" x14ac:dyDescent="0.45">
      <c r="A2017" s="29">
        <v>45850</v>
      </c>
      <c r="B2017" s="13">
        <v>7290000292915</v>
      </c>
      <c r="C2017" t="s">
        <v>22</v>
      </c>
      <c r="D2017">
        <v>2</v>
      </c>
    </row>
    <row r="2018" spans="1:4" x14ac:dyDescent="0.45">
      <c r="A2018" s="29">
        <v>45850</v>
      </c>
      <c r="B2018" s="13">
        <v>7290000294780</v>
      </c>
      <c r="C2018" t="s">
        <v>22</v>
      </c>
      <c r="D2018">
        <v>8</v>
      </c>
    </row>
    <row r="2019" spans="1:4" x14ac:dyDescent="0.45">
      <c r="A2019" s="29">
        <v>45850</v>
      </c>
      <c r="B2019" s="13">
        <v>7290000295367</v>
      </c>
      <c r="C2019" t="s">
        <v>22</v>
      </c>
      <c r="D2019">
        <v>4</v>
      </c>
    </row>
    <row r="2020" spans="1:4" x14ac:dyDescent="0.45">
      <c r="A2020" s="29">
        <v>45850</v>
      </c>
      <c r="B2020" s="13">
        <v>7290000295541</v>
      </c>
      <c r="C2020" t="s">
        <v>22</v>
      </c>
      <c r="D2020">
        <v>3</v>
      </c>
    </row>
    <row r="2021" spans="1:4" x14ac:dyDescent="0.45">
      <c r="A2021" s="29">
        <v>45850</v>
      </c>
      <c r="B2021" s="13">
        <v>7290001246610</v>
      </c>
      <c r="C2021" t="s">
        <v>22</v>
      </c>
      <c r="D2021">
        <v>2</v>
      </c>
    </row>
    <row r="2022" spans="1:4" x14ac:dyDescent="0.45">
      <c r="A2022" s="29">
        <v>45850</v>
      </c>
      <c r="B2022" s="13">
        <v>7290005424700</v>
      </c>
      <c r="C2022" t="s">
        <v>22</v>
      </c>
      <c r="D2022">
        <v>6</v>
      </c>
    </row>
    <row r="2023" spans="1:4" x14ac:dyDescent="0.45">
      <c r="A2023" s="29">
        <v>45850</v>
      </c>
      <c r="B2023" s="13">
        <v>7290005425110</v>
      </c>
      <c r="C2023" t="s">
        <v>22</v>
      </c>
      <c r="D2023">
        <v>6</v>
      </c>
    </row>
    <row r="2024" spans="1:4" x14ac:dyDescent="0.45">
      <c r="A2024" s="29">
        <v>45850</v>
      </c>
      <c r="B2024" s="13">
        <v>7290005425196</v>
      </c>
      <c r="C2024" t="s">
        <v>22</v>
      </c>
      <c r="D2024">
        <v>4</v>
      </c>
    </row>
    <row r="2025" spans="1:4" x14ac:dyDescent="0.45">
      <c r="A2025" s="29">
        <v>45850</v>
      </c>
      <c r="B2025" s="13">
        <v>7290012116025</v>
      </c>
      <c r="C2025" t="s">
        <v>22</v>
      </c>
      <c r="D2025">
        <v>6</v>
      </c>
    </row>
    <row r="2026" spans="1:4" x14ac:dyDescent="0.45">
      <c r="A2026" s="29">
        <v>45850</v>
      </c>
      <c r="B2026" s="13">
        <v>7290012117534</v>
      </c>
      <c r="C2026" t="s">
        <v>22</v>
      </c>
      <c r="D2026">
        <v>2</v>
      </c>
    </row>
    <row r="2027" spans="1:4" x14ac:dyDescent="0.45">
      <c r="A2027" s="29">
        <v>45850</v>
      </c>
      <c r="B2027" s="13">
        <v>7290013268204</v>
      </c>
      <c r="C2027" t="s">
        <v>22</v>
      </c>
      <c r="D2027">
        <v>2</v>
      </c>
    </row>
    <row r="2028" spans="1:4" x14ac:dyDescent="0.45">
      <c r="A2028" s="29">
        <v>45850</v>
      </c>
      <c r="B2028" s="13">
        <v>7290013268891</v>
      </c>
      <c r="C2028" t="s">
        <v>22</v>
      </c>
      <c r="D2028">
        <v>4</v>
      </c>
    </row>
    <row r="2029" spans="1:4" x14ac:dyDescent="0.45">
      <c r="A2029" s="29">
        <v>45850</v>
      </c>
      <c r="B2029" s="13">
        <v>7290013269003</v>
      </c>
      <c r="C2029" t="s">
        <v>22</v>
      </c>
      <c r="D2029">
        <v>2</v>
      </c>
    </row>
    <row r="2030" spans="1:4" x14ac:dyDescent="0.45">
      <c r="A2030" s="29">
        <v>45850</v>
      </c>
      <c r="B2030" s="13">
        <v>7290014397453</v>
      </c>
      <c r="C2030" t="s">
        <v>22</v>
      </c>
      <c r="D2030">
        <v>2</v>
      </c>
    </row>
    <row r="2031" spans="1:4" x14ac:dyDescent="0.45">
      <c r="A2031" s="29">
        <v>45850</v>
      </c>
      <c r="B2031" s="13">
        <v>7290019274483</v>
      </c>
      <c r="C2031" t="s">
        <v>22</v>
      </c>
      <c r="D2031">
        <v>4</v>
      </c>
    </row>
    <row r="2032" spans="1:4" x14ac:dyDescent="0.45">
      <c r="A2032" s="29">
        <v>45850</v>
      </c>
      <c r="B2032" s="13">
        <v>7290019274490</v>
      </c>
      <c r="C2032" t="s">
        <v>22</v>
      </c>
      <c r="D2032">
        <v>2</v>
      </c>
    </row>
    <row r="2033" spans="1:4" x14ac:dyDescent="0.45">
      <c r="A2033" s="29">
        <v>45850</v>
      </c>
      <c r="B2033" s="13">
        <v>7290019611325</v>
      </c>
      <c r="C2033" t="s">
        <v>22</v>
      </c>
      <c r="D2033">
        <v>4</v>
      </c>
    </row>
    <row r="2034" spans="1:4" x14ac:dyDescent="0.45">
      <c r="A2034" s="29">
        <v>45850</v>
      </c>
      <c r="B2034" s="13">
        <v>7290103702489</v>
      </c>
      <c r="C2034" t="s">
        <v>22</v>
      </c>
      <c r="D2034">
        <v>10</v>
      </c>
    </row>
    <row r="2035" spans="1:4" x14ac:dyDescent="0.45">
      <c r="A2035" s="29">
        <v>45850</v>
      </c>
      <c r="B2035" s="13">
        <v>7290103703370</v>
      </c>
      <c r="C2035" t="s">
        <v>22</v>
      </c>
      <c r="D2035">
        <v>8</v>
      </c>
    </row>
    <row r="2036" spans="1:4" x14ac:dyDescent="0.45">
      <c r="A2036" s="29">
        <v>45850</v>
      </c>
      <c r="B2036" s="13">
        <v>7290103704155</v>
      </c>
      <c r="C2036" t="s">
        <v>22</v>
      </c>
      <c r="D2036">
        <v>8</v>
      </c>
    </row>
    <row r="2037" spans="1:4" x14ac:dyDescent="0.45">
      <c r="A2037" s="29">
        <v>45850</v>
      </c>
      <c r="B2037" s="13">
        <v>7290103704179</v>
      </c>
      <c r="C2037" t="s">
        <v>22</v>
      </c>
      <c r="D2037">
        <v>10</v>
      </c>
    </row>
    <row r="2038" spans="1:4" x14ac:dyDescent="0.45">
      <c r="A2038" s="29">
        <v>45850</v>
      </c>
      <c r="B2038" s="13">
        <v>7290103704919</v>
      </c>
      <c r="C2038" t="s">
        <v>22</v>
      </c>
      <c r="D2038">
        <v>8</v>
      </c>
    </row>
    <row r="2039" spans="1:4" x14ac:dyDescent="0.45">
      <c r="A2039" s="29">
        <v>45850</v>
      </c>
      <c r="B2039" s="13">
        <v>7290107280099</v>
      </c>
      <c r="C2039" t="s">
        <v>22</v>
      </c>
      <c r="D2039">
        <v>2</v>
      </c>
    </row>
    <row r="2040" spans="1:4" x14ac:dyDescent="0.45">
      <c r="A2040" s="29">
        <v>45850</v>
      </c>
      <c r="B2040" s="13">
        <v>7290108351699</v>
      </c>
      <c r="C2040" t="s">
        <v>22</v>
      </c>
      <c r="D2040">
        <v>2</v>
      </c>
    </row>
    <row r="2041" spans="1:4" x14ac:dyDescent="0.45">
      <c r="A2041" s="29">
        <v>45850</v>
      </c>
      <c r="B2041" s="13">
        <v>7290108352702</v>
      </c>
      <c r="C2041" t="s">
        <v>22</v>
      </c>
      <c r="D2041">
        <v>3</v>
      </c>
    </row>
    <row r="2042" spans="1:4" x14ac:dyDescent="0.45">
      <c r="A2042" s="29">
        <v>45850</v>
      </c>
      <c r="B2042" s="13">
        <v>7290108356298</v>
      </c>
      <c r="C2042" t="s">
        <v>22</v>
      </c>
      <c r="D2042">
        <v>4</v>
      </c>
    </row>
    <row r="2043" spans="1:4" x14ac:dyDescent="0.45">
      <c r="A2043" s="29">
        <v>45850</v>
      </c>
      <c r="B2043" s="13">
        <v>7290108356700</v>
      </c>
      <c r="C2043" t="s">
        <v>22</v>
      </c>
      <c r="D2043">
        <v>3</v>
      </c>
    </row>
    <row r="2044" spans="1:4" x14ac:dyDescent="0.45">
      <c r="A2044" s="29">
        <v>45850</v>
      </c>
      <c r="B2044" s="13">
        <v>7290108356717</v>
      </c>
      <c r="C2044" t="s">
        <v>22</v>
      </c>
      <c r="D2044">
        <v>4</v>
      </c>
    </row>
    <row r="2045" spans="1:4" x14ac:dyDescent="0.45">
      <c r="A2045" s="29">
        <v>45850</v>
      </c>
      <c r="B2045" s="13">
        <v>7290108356724</v>
      </c>
      <c r="C2045" t="s">
        <v>22</v>
      </c>
      <c r="D2045">
        <v>2</v>
      </c>
    </row>
    <row r="2046" spans="1:4" x14ac:dyDescent="0.45">
      <c r="A2046" s="29">
        <v>45850</v>
      </c>
      <c r="B2046" s="13">
        <v>7290108357240</v>
      </c>
      <c r="C2046" t="s">
        <v>22</v>
      </c>
      <c r="D2046">
        <v>2</v>
      </c>
    </row>
    <row r="2047" spans="1:4" x14ac:dyDescent="0.45">
      <c r="A2047" s="29">
        <v>45850</v>
      </c>
      <c r="B2047" s="13">
        <v>7290108357288</v>
      </c>
      <c r="C2047" t="s">
        <v>22</v>
      </c>
      <c r="D2047">
        <v>10</v>
      </c>
    </row>
    <row r="2048" spans="1:4" x14ac:dyDescent="0.45">
      <c r="A2048" s="29">
        <v>45850</v>
      </c>
      <c r="B2048" s="13">
        <v>7290108357844</v>
      </c>
      <c r="C2048" t="s">
        <v>22</v>
      </c>
      <c r="D2048">
        <v>4</v>
      </c>
    </row>
    <row r="2049" spans="1:4" x14ac:dyDescent="0.45">
      <c r="A2049" s="29">
        <v>45850</v>
      </c>
      <c r="B2049" s="13">
        <v>7290108359077</v>
      </c>
      <c r="C2049" t="s">
        <v>22</v>
      </c>
      <c r="D2049">
        <v>2</v>
      </c>
    </row>
    <row r="2050" spans="1:4" x14ac:dyDescent="0.45">
      <c r="A2050" s="29">
        <v>45850</v>
      </c>
      <c r="B2050" s="13">
        <v>7290108359176</v>
      </c>
      <c r="C2050" t="s">
        <v>22</v>
      </c>
      <c r="D2050">
        <v>3</v>
      </c>
    </row>
    <row r="2051" spans="1:4" x14ac:dyDescent="0.45">
      <c r="A2051" s="29">
        <v>45850</v>
      </c>
      <c r="B2051" s="13">
        <v>7290108359190</v>
      </c>
      <c r="C2051" t="s">
        <v>22</v>
      </c>
      <c r="D2051">
        <v>2</v>
      </c>
    </row>
    <row r="2052" spans="1:4" x14ac:dyDescent="0.45">
      <c r="A2052" s="29">
        <v>45850</v>
      </c>
      <c r="B2052" s="13">
        <v>8001090184375</v>
      </c>
      <c r="C2052" t="s">
        <v>22</v>
      </c>
      <c r="D2052">
        <v>2</v>
      </c>
    </row>
    <row r="2053" spans="1:4" x14ac:dyDescent="0.45">
      <c r="A2053" s="29">
        <v>45850</v>
      </c>
      <c r="B2053" s="13">
        <v>8001090184412</v>
      </c>
      <c r="C2053" t="s">
        <v>22</v>
      </c>
      <c r="D2053">
        <v>8</v>
      </c>
    </row>
    <row r="2054" spans="1:4" x14ac:dyDescent="0.45">
      <c r="A2054" s="29">
        <v>45850</v>
      </c>
      <c r="B2054" s="13">
        <v>8001841625362</v>
      </c>
      <c r="C2054" t="s">
        <v>22</v>
      </c>
      <c r="D2054">
        <v>2</v>
      </c>
    </row>
    <row r="2055" spans="1:4" x14ac:dyDescent="0.45">
      <c r="A2055" s="29">
        <v>45850</v>
      </c>
      <c r="B2055" s="13">
        <v>8001841893990</v>
      </c>
      <c r="C2055" t="s">
        <v>22</v>
      </c>
      <c r="D2055">
        <v>3</v>
      </c>
    </row>
    <row r="2056" spans="1:4" x14ac:dyDescent="0.45">
      <c r="A2056" s="29">
        <v>45850</v>
      </c>
      <c r="B2056" s="13">
        <v>8006540429327</v>
      </c>
      <c r="C2056" t="s">
        <v>22</v>
      </c>
      <c r="D2056">
        <v>10</v>
      </c>
    </row>
    <row r="2057" spans="1:4" x14ac:dyDescent="0.45">
      <c r="A2057" s="29">
        <v>45850</v>
      </c>
      <c r="B2057" s="13">
        <v>8700216163811</v>
      </c>
      <c r="C2057" t="s">
        <v>22</v>
      </c>
      <c r="D2057">
        <v>8</v>
      </c>
    </row>
    <row r="2058" spans="1:4" x14ac:dyDescent="0.45">
      <c r="A2058" s="29">
        <v>45850</v>
      </c>
      <c r="B2058" s="13">
        <v>8700216236034</v>
      </c>
      <c r="C2058" t="s">
        <v>22</v>
      </c>
      <c r="D2058">
        <v>3</v>
      </c>
    </row>
    <row r="2059" spans="1:4" x14ac:dyDescent="0.45">
      <c r="A2059" s="29">
        <v>45850</v>
      </c>
      <c r="B2059" s="13">
        <v>8700216236751</v>
      </c>
      <c r="C2059" t="s">
        <v>22</v>
      </c>
      <c r="D2059">
        <v>4</v>
      </c>
    </row>
    <row r="2060" spans="1:4" x14ac:dyDescent="0.45">
      <c r="A2060" s="29">
        <v>45851</v>
      </c>
      <c r="B2060" s="13">
        <v>4084500088917</v>
      </c>
      <c r="C2060" t="s">
        <v>22</v>
      </c>
      <c r="D2060">
        <v>4</v>
      </c>
    </row>
    <row r="2061" spans="1:4" x14ac:dyDescent="0.45">
      <c r="A2061" s="29">
        <v>45851</v>
      </c>
      <c r="B2061" s="13">
        <v>4084500853836</v>
      </c>
      <c r="C2061" t="s">
        <v>22</v>
      </c>
      <c r="D2061">
        <v>4</v>
      </c>
    </row>
    <row r="2062" spans="1:4" x14ac:dyDescent="0.45">
      <c r="A2062" s="29">
        <v>45851</v>
      </c>
      <c r="B2062" s="13">
        <v>7290000286921</v>
      </c>
      <c r="C2062" t="s">
        <v>22</v>
      </c>
      <c r="D2062">
        <v>0</v>
      </c>
    </row>
    <row r="2063" spans="1:4" x14ac:dyDescent="0.45">
      <c r="A2063" s="29">
        <v>45851</v>
      </c>
      <c r="B2063" s="13">
        <v>7290000288024</v>
      </c>
      <c r="C2063" t="s">
        <v>22</v>
      </c>
      <c r="D2063">
        <v>5</v>
      </c>
    </row>
    <row r="2064" spans="1:4" x14ac:dyDescent="0.45">
      <c r="A2064" s="29">
        <v>45851</v>
      </c>
      <c r="B2064" s="13">
        <v>7290000288307</v>
      </c>
      <c r="C2064" t="s">
        <v>22</v>
      </c>
      <c r="D2064">
        <v>1</v>
      </c>
    </row>
    <row r="2065" spans="1:4" x14ac:dyDescent="0.45">
      <c r="A2065" s="29">
        <v>45851</v>
      </c>
      <c r="B2065" s="13">
        <v>7290000288659</v>
      </c>
      <c r="C2065" t="s">
        <v>22</v>
      </c>
      <c r="D2065">
        <v>0</v>
      </c>
    </row>
    <row r="2066" spans="1:4" x14ac:dyDescent="0.45">
      <c r="A2066" s="29">
        <v>45851</v>
      </c>
      <c r="B2066" s="13">
        <v>7290000292915</v>
      </c>
      <c r="C2066" t="s">
        <v>22</v>
      </c>
      <c r="D2066">
        <v>1</v>
      </c>
    </row>
    <row r="2067" spans="1:4" x14ac:dyDescent="0.45">
      <c r="A2067" s="29">
        <v>45851</v>
      </c>
      <c r="B2067" s="13">
        <v>7290000294780</v>
      </c>
      <c r="C2067" t="s">
        <v>22</v>
      </c>
      <c r="D2067">
        <v>5</v>
      </c>
    </row>
    <row r="2068" spans="1:4" x14ac:dyDescent="0.45">
      <c r="A2068" s="29">
        <v>45851</v>
      </c>
      <c r="B2068" s="13">
        <v>7290000295367</v>
      </c>
      <c r="C2068" t="s">
        <v>22</v>
      </c>
      <c r="D2068">
        <v>2</v>
      </c>
    </row>
    <row r="2069" spans="1:4" x14ac:dyDescent="0.45">
      <c r="A2069" s="29">
        <v>45851</v>
      </c>
      <c r="B2069" s="13">
        <v>7290000295541</v>
      </c>
      <c r="C2069" t="s">
        <v>22</v>
      </c>
      <c r="D2069">
        <v>1</v>
      </c>
    </row>
    <row r="2070" spans="1:4" x14ac:dyDescent="0.45">
      <c r="A2070" s="29">
        <v>45851</v>
      </c>
      <c r="B2070" s="13">
        <v>7290001246610</v>
      </c>
      <c r="C2070" t="s">
        <v>22</v>
      </c>
      <c r="D2070">
        <v>2</v>
      </c>
    </row>
    <row r="2071" spans="1:4" x14ac:dyDescent="0.45">
      <c r="A2071" s="29">
        <v>45851</v>
      </c>
      <c r="B2071" s="13">
        <v>7290005424700</v>
      </c>
      <c r="C2071" t="s">
        <v>22</v>
      </c>
      <c r="D2071">
        <v>3</v>
      </c>
    </row>
    <row r="2072" spans="1:4" x14ac:dyDescent="0.45">
      <c r="A2072" s="29">
        <v>45851</v>
      </c>
      <c r="B2072" s="13">
        <v>7290005425110</v>
      </c>
      <c r="C2072" t="s">
        <v>22</v>
      </c>
      <c r="D2072">
        <v>2</v>
      </c>
    </row>
    <row r="2073" spans="1:4" x14ac:dyDescent="0.45">
      <c r="A2073" s="29">
        <v>45851</v>
      </c>
      <c r="B2073" s="13">
        <v>7290005425196</v>
      </c>
      <c r="C2073" t="s">
        <v>22</v>
      </c>
      <c r="D2073">
        <v>1</v>
      </c>
    </row>
    <row r="2074" spans="1:4" x14ac:dyDescent="0.45">
      <c r="A2074" s="29">
        <v>45851</v>
      </c>
      <c r="B2074" s="13">
        <v>7290012116025</v>
      </c>
      <c r="C2074" t="s">
        <v>22</v>
      </c>
      <c r="D2074">
        <v>3</v>
      </c>
    </row>
    <row r="2075" spans="1:4" x14ac:dyDescent="0.45">
      <c r="A2075" s="29">
        <v>45851</v>
      </c>
      <c r="B2075" s="13">
        <v>7290012117534</v>
      </c>
      <c r="C2075" t="s">
        <v>22</v>
      </c>
      <c r="D2075">
        <v>1</v>
      </c>
    </row>
    <row r="2076" spans="1:4" x14ac:dyDescent="0.45">
      <c r="A2076" s="29">
        <v>45851</v>
      </c>
      <c r="B2076" s="13">
        <v>7290013268204</v>
      </c>
      <c r="C2076" t="s">
        <v>22</v>
      </c>
      <c r="D2076">
        <v>0</v>
      </c>
    </row>
    <row r="2077" spans="1:4" x14ac:dyDescent="0.45">
      <c r="A2077" s="29">
        <v>45851</v>
      </c>
      <c r="B2077" s="13">
        <v>7290013268891</v>
      </c>
      <c r="C2077" t="s">
        <v>22</v>
      </c>
      <c r="D2077">
        <v>2</v>
      </c>
    </row>
    <row r="2078" spans="1:4" x14ac:dyDescent="0.45">
      <c r="A2078" s="29">
        <v>45851</v>
      </c>
      <c r="B2078" s="13">
        <v>7290013269003</v>
      </c>
      <c r="C2078" t="s">
        <v>22</v>
      </c>
      <c r="D2078">
        <v>1</v>
      </c>
    </row>
    <row r="2079" spans="1:4" x14ac:dyDescent="0.45">
      <c r="A2079" s="29">
        <v>45851</v>
      </c>
      <c r="B2079" s="13">
        <v>7290014397453</v>
      </c>
      <c r="C2079" t="s">
        <v>22</v>
      </c>
      <c r="D2079">
        <v>1</v>
      </c>
    </row>
    <row r="2080" spans="1:4" x14ac:dyDescent="0.45">
      <c r="A2080" s="29">
        <v>45851</v>
      </c>
      <c r="B2080" s="13">
        <v>7290019274483</v>
      </c>
      <c r="C2080" t="s">
        <v>22</v>
      </c>
      <c r="D2080">
        <v>1</v>
      </c>
    </row>
    <row r="2081" spans="1:4" x14ac:dyDescent="0.45">
      <c r="A2081" s="29">
        <v>45851</v>
      </c>
      <c r="B2081" s="13">
        <v>7290019274490</v>
      </c>
      <c r="C2081" t="s">
        <v>22</v>
      </c>
      <c r="D2081">
        <v>1</v>
      </c>
    </row>
    <row r="2082" spans="1:4" x14ac:dyDescent="0.45">
      <c r="A2082" s="29">
        <v>45851</v>
      </c>
      <c r="B2082" s="13">
        <v>7290019611325</v>
      </c>
      <c r="C2082" t="s">
        <v>22</v>
      </c>
      <c r="D2082">
        <v>1</v>
      </c>
    </row>
    <row r="2083" spans="1:4" x14ac:dyDescent="0.45">
      <c r="A2083" s="29">
        <v>45851</v>
      </c>
      <c r="B2083" s="13">
        <v>7290103702489</v>
      </c>
      <c r="C2083" t="s">
        <v>22</v>
      </c>
      <c r="D2083">
        <v>5</v>
      </c>
    </row>
    <row r="2084" spans="1:4" x14ac:dyDescent="0.45">
      <c r="A2084" s="29">
        <v>45851</v>
      </c>
      <c r="B2084" s="13">
        <v>7290103703370</v>
      </c>
      <c r="C2084" t="s">
        <v>22</v>
      </c>
      <c r="D2084">
        <v>4</v>
      </c>
    </row>
    <row r="2085" spans="1:4" x14ac:dyDescent="0.45">
      <c r="A2085" s="29">
        <v>45851</v>
      </c>
      <c r="B2085" s="13">
        <v>7290103704155</v>
      </c>
      <c r="C2085" t="s">
        <v>22</v>
      </c>
      <c r="D2085">
        <v>4</v>
      </c>
    </row>
    <row r="2086" spans="1:4" x14ac:dyDescent="0.45">
      <c r="A2086" s="29">
        <v>45851</v>
      </c>
      <c r="B2086" s="13">
        <v>7290103704179</v>
      </c>
      <c r="C2086" t="s">
        <v>22</v>
      </c>
      <c r="D2086">
        <v>5</v>
      </c>
    </row>
    <row r="2087" spans="1:4" x14ac:dyDescent="0.45">
      <c r="A2087" s="29">
        <v>45851</v>
      </c>
      <c r="B2087" s="13">
        <v>7290103704919</v>
      </c>
      <c r="C2087" t="s">
        <v>22</v>
      </c>
      <c r="D2087">
        <v>4</v>
      </c>
    </row>
    <row r="2088" spans="1:4" x14ac:dyDescent="0.45">
      <c r="A2088" s="29">
        <v>45851</v>
      </c>
      <c r="B2088" s="13">
        <v>7290107280099</v>
      </c>
      <c r="C2088" t="s">
        <v>22</v>
      </c>
      <c r="D2088">
        <v>1</v>
      </c>
    </row>
    <row r="2089" spans="1:4" x14ac:dyDescent="0.45">
      <c r="A2089" s="29">
        <v>45851</v>
      </c>
      <c r="B2089" s="13">
        <v>7290108351699</v>
      </c>
      <c r="C2089" t="s">
        <v>22</v>
      </c>
      <c r="D2089">
        <v>1</v>
      </c>
    </row>
    <row r="2090" spans="1:4" x14ac:dyDescent="0.45">
      <c r="A2090" s="29">
        <v>45851</v>
      </c>
      <c r="B2090" s="13">
        <v>7290108352702</v>
      </c>
      <c r="C2090" t="s">
        <v>22</v>
      </c>
      <c r="D2090">
        <v>0</v>
      </c>
    </row>
    <row r="2091" spans="1:4" x14ac:dyDescent="0.45">
      <c r="A2091" s="29">
        <v>45851</v>
      </c>
      <c r="B2091" s="13">
        <v>7290108356298</v>
      </c>
      <c r="C2091" t="s">
        <v>22</v>
      </c>
      <c r="D2091">
        <v>2</v>
      </c>
    </row>
    <row r="2092" spans="1:4" x14ac:dyDescent="0.45">
      <c r="A2092" s="29">
        <v>45851</v>
      </c>
      <c r="B2092" s="13">
        <v>7290108356700</v>
      </c>
      <c r="C2092" t="s">
        <v>22</v>
      </c>
      <c r="D2092">
        <v>1</v>
      </c>
    </row>
    <row r="2093" spans="1:4" x14ac:dyDescent="0.45">
      <c r="A2093" s="29">
        <v>45851</v>
      </c>
      <c r="B2093" s="13">
        <v>7290108356717</v>
      </c>
      <c r="C2093" t="s">
        <v>22</v>
      </c>
      <c r="D2093">
        <v>3</v>
      </c>
    </row>
    <row r="2094" spans="1:4" x14ac:dyDescent="0.45">
      <c r="A2094" s="29">
        <v>45851</v>
      </c>
      <c r="B2094" s="13">
        <v>7290108356724</v>
      </c>
      <c r="C2094" t="s">
        <v>22</v>
      </c>
      <c r="D2094">
        <v>1</v>
      </c>
    </row>
    <row r="2095" spans="1:4" x14ac:dyDescent="0.45">
      <c r="A2095" s="29">
        <v>45851</v>
      </c>
      <c r="B2095" s="13">
        <v>7290108357240</v>
      </c>
      <c r="C2095" t="s">
        <v>22</v>
      </c>
      <c r="D2095">
        <v>2</v>
      </c>
    </row>
    <row r="2096" spans="1:4" x14ac:dyDescent="0.45">
      <c r="A2096" s="29">
        <v>45851</v>
      </c>
      <c r="B2096" s="13">
        <v>7290108357288</v>
      </c>
      <c r="C2096" t="s">
        <v>22</v>
      </c>
      <c r="D2096">
        <v>4</v>
      </c>
    </row>
    <row r="2097" spans="1:4" x14ac:dyDescent="0.45">
      <c r="A2097" s="29">
        <v>45851</v>
      </c>
      <c r="B2097" s="13">
        <v>7290108357844</v>
      </c>
      <c r="C2097" t="s">
        <v>22</v>
      </c>
      <c r="D2097">
        <v>2</v>
      </c>
    </row>
    <row r="2098" spans="1:4" x14ac:dyDescent="0.45">
      <c r="A2098" s="29">
        <v>45851</v>
      </c>
      <c r="B2098" s="13">
        <v>7290108359077</v>
      </c>
      <c r="C2098" t="s">
        <v>22</v>
      </c>
      <c r="D2098">
        <v>0</v>
      </c>
    </row>
    <row r="2099" spans="1:4" x14ac:dyDescent="0.45">
      <c r="A2099" s="29">
        <v>45851</v>
      </c>
      <c r="B2099" s="13">
        <v>7290108359176</v>
      </c>
      <c r="C2099" t="s">
        <v>22</v>
      </c>
      <c r="D2099">
        <v>0</v>
      </c>
    </row>
    <row r="2100" spans="1:4" x14ac:dyDescent="0.45">
      <c r="A2100" s="29">
        <v>45851</v>
      </c>
      <c r="B2100" s="13">
        <v>7290108359190</v>
      </c>
      <c r="C2100" t="s">
        <v>22</v>
      </c>
      <c r="D2100">
        <v>0</v>
      </c>
    </row>
    <row r="2101" spans="1:4" x14ac:dyDescent="0.45">
      <c r="A2101" s="29">
        <v>45851</v>
      </c>
      <c r="B2101" s="13">
        <v>8001090184375</v>
      </c>
      <c r="C2101" t="s">
        <v>22</v>
      </c>
      <c r="D2101">
        <v>0</v>
      </c>
    </row>
    <row r="2102" spans="1:4" x14ac:dyDescent="0.45">
      <c r="A2102" s="29">
        <v>45851</v>
      </c>
      <c r="B2102" s="13">
        <v>8001090184412</v>
      </c>
      <c r="C2102" t="s">
        <v>22</v>
      </c>
      <c r="D2102">
        <v>4</v>
      </c>
    </row>
    <row r="2103" spans="1:4" x14ac:dyDescent="0.45">
      <c r="A2103" s="29">
        <v>45851</v>
      </c>
      <c r="B2103" s="13">
        <v>8001841625362</v>
      </c>
      <c r="C2103" t="s">
        <v>22</v>
      </c>
      <c r="D2103">
        <v>1</v>
      </c>
    </row>
    <row r="2104" spans="1:4" x14ac:dyDescent="0.45">
      <c r="A2104" s="29">
        <v>45851</v>
      </c>
      <c r="B2104" s="13">
        <v>8001841893990</v>
      </c>
      <c r="C2104" t="s">
        <v>22</v>
      </c>
      <c r="D2104">
        <v>1</v>
      </c>
    </row>
    <row r="2105" spans="1:4" x14ac:dyDescent="0.45">
      <c r="A2105" s="29">
        <v>45851</v>
      </c>
      <c r="B2105" s="13">
        <v>8006540429327</v>
      </c>
      <c r="C2105" t="s">
        <v>22</v>
      </c>
      <c r="D2105">
        <v>5</v>
      </c>
    </row>
    <row r="2106" spans="1:4" x14ac:dyDescent="0.45">
      <c r="A2106" s="29">
        <v>45851</v>
      </c>
      <c r="B2106" s="13">
        <v>8700216163811</v>
      </c>
      <c r="C2106" t="s">
        <v>22</v>
      </c>
      <c r="D2106">
        <v>4</v>
      </c>
    </row>
    <row r="2107" spans="1:4" x14ac:dyDescent="0.45">
      <c r="A2107" s="29">
        <v>45851</v>
      </c>
      <c r="B2107" s="13">
        <v>8700216236034</v>
      </c>
      <c r="C2107" t="s">
        <v>22</v>
      </c>
      <c r="D2107">
        <v>2</v>
      </c>
    </row>
    <row r="2108" spans="1:4" x14ac:dyDescent="0.45">
      <c r="A2108" s="29">
        <v>45851</v>
      </c>
      <c r="B2108" s="13">
        <v>8700216236751</v>
      </c>
      <c r="C2108" t="s">
        <v>22</v>
      </c>
      <c r="D2108">
        <v>1</v>
      </c>
    </row>
    <row r="2109" spans="1:4" x14ac:dyDescent="0.45">
      <c r="A2109" s="29">
        <v>45852</v>
      </c>
      <c r="B2109" s="13">
        <v>4084500088917</v>
      </c>
      <c r="C2109" t="s">
        <v>22</v>
      </c>
      <c r="D2109">
        <v>5</v>
      </c>
    </row>
    <row r="2110" spans="1:4" x14ac:dyDescent="0.45">
      <c r="A2110" s="29">
        <v>45852</v>
      </c>
      <c r="B2110" s="13">
        <v>4084500853836</v>
      </c>
      <c r="C2110" t="s">
        <v>22</v>
      </c>
      <c r="D2110">
        <v>5</v>
      </c>
    </row>
    <row r="2111" spans="1:4" x14ac:dyDescent="0.45">
      <c r="A2111" s="29">
        <v>45852</v>
      </c>
      <c r="B2111" s="13">
        <v>7290000286921</v>
      </c>
      <c r="C2111" t="s">
        <v>22</v>
      </c>
      <c r="D2111">
        <v>0</v>
      </c>
    </row>
    <row r="2112" spans="1:4" x14ac:dyDescent="0.45">
      <c r="A2112" s="29">
        <v>45852</v>
      </c>
      <c r="B2112" s="13">
        <v>7290000288024</v>
      </c>
      <c r="C2112" t="s">
        <v>22</v>
      </c>
      <c r="D2112">
        <v>5</v>
      </c>
    </row>
    <row r="2113" spans="1:4" x14ac:dyDescent="0.45">
      <c r="A2113" s="29">
        <v>45852</v>
      </c>
      <c r="B2113" s="13">
        <v>7290000288307</v>
      </c>
      <c r="C2113" t="s">
        <v>22</v>
      </c>
      <c r="D2113">
        <v>0</v>
      </c>
    </row>
    <row r="2114" spans="1:4" x14ac:dyDescent="0.45">
      <c r="A2114" s="29">
        <v>45852</v>
      </c>
      <c r="B2114" s="13">
        <v>7290000288659</v>
      </c>
      <c r="C2114" t="s">
        <v>22</v>
      </c>
      <c r="D2114">
        <v>0</v>
      </c>
    </row>
    <row r="2115" spans="1:4" x14ac:dyDescent="0.45">
      <c r="A2115" s="29">
        <v>45852</v>
      </c>
      <c r="B2115" s="13">
        <v>7290000292915</v>
      </c>
      <c r="C2115" t="s">
        <v>22</v>
      </c>
      <c r="D2115">
        <v>3</v>
      </c>
    </row>
    <row r="2116" spans="1:4" x14ac:dyDescent="0.45">
      <c r="A2116" s="29">
        <v>45852</v>
      </c>
      <c r="B2116" s="13">
        <v>7290000294780</v>
      </c>
      <c r="C2116" t="s">
        <v>22</v>
      </c>
      <c r="D2116">
        <v>5</v>
      </c>
    </row>
    <row r="2117" spans="1:4" x14ac:dyDescent="0.45">
      <c r="A2117" s="29">
        <v>45852</v>
      </c>
      <c r="B2117" s="13">
        <v>7290000295367</v>
      </c>
      <c r="C2117" t="s">
        <v>22</v>
      </c>
      <c r="D2117">
        <v>1</v>
      </c>
    </row>
    <row r="2118" spans="1:4" x14ac:dyDescent="0.45">
      <c r="A2118" s="29">
        <v>45852</v>
      </c>
      <c r="B2118" s="13">
        <v>7290000295541</v>
      </c>
      <c r="C2118" t="s">
        <v>22</v>
      </c>
      <c r="D2118">
        <v>0</v>
      </c>
    </row>
    <row r="2119" spans="1:4" x14ac:dyDescent="0.45">
      <c r="A2119" s="29">
        <v>45852</v>
      </c>
      <c r="B2119" s="13">
        <v>7290001246610</v>
      </c>
      <c r="C2119" t="s">
        <v>22</v>
      </c>
      <c r="D2119">
        <v>2</v>
      </c>
    </row>
    <row r="2120" spans="1:4" x14ac:dyDescent="0.45">
      <c r="A2120" s="29">
        <v>45852</v>
      </c>
      <c r="B2120" s="13">
        <v>7290005424700</v>
      </c>
      <c r="C2120" t="s">
        <v>22</v>
      </c>
      <c r="D2120">
        <v>1</v>
      </c>
    </row>
    <row r="2121" spans="1:4" x14ac:dyDescent="0.45">
      <c r="A2121" s="29">
        <v>45852</v>
      </c>
      <c r="B2121" s="13">
        <v>7290005425110</v>
      </c>
      <c r="C2121" t="s">
        <v>22</v>
      </c>
      <c r="D2121">
        <v>2</v>
      </c>
    </row>
    <row r="2122" spans="1:4" x14ac:dyDescent="0.45">
      <c r="A2122" s="29">
        <v>45852</v>
      </c>
      <c r="B2122" s="13">
        <v>7290005425196</v>
      </c>
      <c r="C2122" t="s">
        <v>22</v>
      </c>
      <c r="D2122">
        <v>1</v>
      </c>
    </row>
    <row r="2123" spans="1:4" x14ac:dyDescent="0.45">
      <c r="A2123" s="29">
        <v>45852</v>
      </c>
      <c r="B2123" s="13">
        <v>7290012116025</v>
      </c>
      <c r="C2123" t="s">
        <v>22</v>
      </c>
      <c r="D2123">
        <v>1</v>
      </c>
    </row>
    <row r="2124" spans="1:4" x14ac:dyDescent="0.45">
      <c r="A2124" s="29">
        <v>45852</v>
      </c>
      <c r="B2124" s="13">
        <v>7290012117534</v>
      </c>
      <c r="C2124" t="s">
        <v>22</v>
      </c>
      <c r="D2124">
        <v>2</v>
      </c>
    </row>
    <row r="2125" spans="1:4" x14ac:dyDescent="0.45">
      <c r="A2125" s="29">
        <v>45852</v>
      </c>
      <c r="B2125" s="13">
        <v>7290013268204</v>
      </c>
      <c r="C2125" t="s">
        <v>22</v>
      </c>
      <c r="D2125">
        <v>0</v>
      </c>
    </row>
    <row r="2126" spans="1:4" x14ac:dyDescent="0.45">
      <c r="A2126" s="29">
        <v>45852</v>
      </c>
      <c r="B2126" s="13">
        <v>7290013268891</v>
      </c>
      <c r="C2126" t="s">
        <v>22</v>
      </c>
      <c r="D2126">
        <v>1</v>
      </c>
    </row>
    <row r="2127" spans="1:4" x14ac:dyDescent="0.45">
      <c r="A2127" s="29">
        <v>45852</v>
      </c>
      <c r="B2127" s="13">
        <v>7290013269003</v>
      </c>
      <c r="C2127" t="s">
        <v>22</v>
      </c>
      <c r="D2127">
        <v>2</v>
      </c>
    </row>
    <row r="2128" spans="1:4" x14ac:dyDescent="0.45">
      <c r="A2128" s="29">
        <v>45852</v>
      </c>
      <c r="B2128" s="13">
        <v>7290014397453</v>
      </c>
      <c r="C2128" t="s">
        <v>22</v>
      </c>
      <c r="D2128">
        <v>1</v>
      </c>
    </row>
    <row r="2129" spans="1:4" x14ac:dyDescent="0.45">
      <c r="A2129" s="29">
        <v>45852</v>
      </c>
      <c r="B2129" s="13">
        <v>7290019274483</v>
      </c>
      <c r="C2129" t="s">
        <v>22</v>
      </c>
      <c r="D2129">
        <v>1</v>
      </c>
    </row>
    <row r="2130" spans="1:4" x14ac:dyDescent="0.45">
      <c r="A2130" s="29">
        <v>45852</v>
      </c>
      <c r="B2130" s="13">
        <v>7290019274490</v>
      </c>
      <c r="C2130" t="s">
        <v>22</v>
      </c>
      <c r="D2130">
        <v>1</v>
      </c>
    </row>
    <row r="2131" spans="1:4" x14ac:dyDescent="0.45">
      <c r="A2131" s="29">
        <v>45852</v>
      </c>
      <c r="B2131" s="13">
        <v>7290019611325</v>
      </c>
      <c r="C2131" t="s">
        <v>22</v>
      </c>
      <c r="D2131">
        <v>2</v>
      </c>
    </row>
    <row r="2132" spans="1:4" x14ac:dyDescent="0.45">
      <c r="A2132" s="29">
        <v>45852</v>
      </c>
      <c r="B2132" s="13">
        <v>7290103702489</v>
      </c>
      <c r="C2132" t="s">
        <v>22</v>
      </c>
      <c r="D2132">
        <v>5</v>
      </c>
    </row>
    <row r="2133" spans="1:4" x14ac:dyDescent="0.45">
      <c r="A2133" s="29">
        <v>45852</v>
      </c>
      <c r="B2133" s="13">
        <v>7290103703370</v>
      </c>
      <c r="C2133" t="s">
        <v>22</v>
      </c>
      <c r="D2133">
        <v>5</v>
      </c>
    </row>
    <row r="2134" spans="1:4" x14ac:dyDescent="0.45">
      <c r="A2134" s="29">
        <v>45852</v>
      </c>
      <c r="B2134" s="13">
        <v>7290103704155</v>
      </c>
      <c r="C2134" t="s">
        <v>22</v>
      </c>
      <c r="D2134">
        <v>4</v>
      </c>
    </row>
    <row r="2135" spans="1:4" x14ac:dyDescent="0.45">
      <c r="A2135" s="29">
        <v>45852</v>
      </c>
      <c r="B2135" s="13">
        <v>7290103704179</v>
      </c>
      <c r="C2135" t="s">
        <v>22</v>
      </c>
      <c r="D2135">
        <v>5</v>
      </c>
    </row>
    <row r="2136" spans="1:4" x14ac:dyDescent="0.45">
      <c r="A2136" s="29">
        <v>45852</v>
      </c>
      <c r="B2136" s="13">
        <v>7290103704919</v>
      </c>
      <c r="C2136" t="s">
        <v>22</v>
      </c>
      <c r="D2136">
        <v>5</v>
      </c>
    </row>
    <row r="2137" spans="1:4" x14ac:dyDescent="0.45">
      <c r="A2137" s="29">
        <v>45852</v>
      </c>
      <c r="B2137" s="13">
        <v>7290107280099</v>
      </c>
      <c r="C2137" t="s">
        <v>22</v>
      </c>
      <c r="D2137">
        <v>0</v>
      </c>
    </row>
    <row r="2138" spans="1:4" x14ac:dyDescent="0.45">
      <c r="A2138" s="29">
        <v>45852</v>
      </c>
      <c r="B2138" s="13">
        <v>7290108351699</v>
      </c>
      <c r="C2138" t="s">
        <v>22</v>
      </c>
      <c r="D2138">
        <v>3</v>
      </c>
    </row>
    <row r="2139" spans="1:4" x14ac:dyDescent="0.45">
      <c r="A2139" s="29">
        <v>45852</v>
      </c>
      <c r="B2139" s="13">
        <v>7290108352702</v>
      </c>
      <c r="C2139" t="s">
        <v>22</v>
      </c>
      <c r="D2139">
        <v>0</v>
      </c>
    </row>
    <row r="2140" spans="1:4" x14ac:dyDescent="0.45">
      <c r="A2140" s="29">
        <v>45852</v>
      </c>
      <c r="B2140" s="13">
        <v>7290108356298</v>
      </c>
      <c r="C2140" t="s">
        <v>22</v>
      </c>
      <c r="D2140">
        <v>1</v>
      </c>
    </row>
    <row r="2141" spans="1:4" x14ac:dyDescent="0.45">
      <c r="A2141" s="29">
        <v>45852</v>
      </c>
      <c r="B2141" s="13">
        <v>7290108356700</v>
      </c>
      <c r="C2141" t="s">
        <v>22</v>
      </c>
      <c r="D2141">
        <v>2</v>
      </c>
    </row>
    <row r="2142" spans="1:4" x14ac:dyDescent="0.45">
      <c r="A2142" s="29">
        <v>45852</v>
      </c>
      <c r="B2142" s="13">
        <v>7290108356717</v>
      </c>
      <c r="C2142" t="s">
        <v>22</v>
      </c>
      <c r="D2142">
        <v>2</v>
      </c>
    </row>
    <row r="2143" spans="1:4" x14ac:dyDescent="0.45">
      <c r="A2143" s="29">
        <v>45852</v>
      </c>
      <c r="B2143" s="13">
        <v>7290108356724</v>
      </c>
      <c r="C2143" t="s">
        <v>22</v>
      </c>
      <c r="D2143">
        <v>1</v>
      </c>
    </row>
    <row r="2144" spans="1:4" x14ac:dyDescent="0.45">
      <c r="A2144" s="29">
        <v>45852</v>
      </c>
      <c r="B2144" s="13">
        <v>7290108357240</v>
      </c>
      <c r="C2144" t="s">
        <v>22</v>
      </c>
      <c r="D2144">
        <v>2</v>
      </c>
    </row>
    <row r="2145" spans="1:4" x14ac:dyDescent="0.45">
      <c r="A2145" s="29">
        <v>45852</v>
      </c>
      <c r="B2145" s="13">
        <v>7290108357288</v>
      </c>
      <c r="C2145" t="s">
        <v>22</v>
      </c>
      <c r="D2145">
        <v>5</v>
      </c>
    </row>
    <row r="2146" spans="1:4" x14ac:dyDescent="0.45">
      <c r="A2146" s="29">
        <v>45852</v>
      </c>
      <c r="B2146" s="13">
        <v>7290108357844</v>
      </c>
      <c r="C2146" t="s">
        <v>22</v>
      </c>
      <c r="D2146">
        <v>2</v>
      </c>
    </row>
    <row r="2147" spans="1:4" x14ac:dyDescent="0.45">
      <c r="A2147" s="29">
        <v>45852</v>
      </c>
      <c r="B2147" s="13">
        <v>7290108359077</v>
      </c>
      <c r="C2147" t="s">
        <v>22</v>
      </c>
      <c r="D2147">
        <v>0</v>
      </c>
    </row>
    <row r="2148" spans="1:4" x14ac:dyDescent="0.45">
      <c r="A2148" s="29">
        <v>45852</v>
      </c>
      <c r="B2148" s="13">
        <v>7290108359176</v>
      </c>
      <c r="C2148" t="s">
        <v>22</v>
      </c>
      <c r="D2148">
        <v>0</v>
      </c>
    </row>
    <row r="2149" spans="1:4" x14ac:dyDescent="0.45">
      <c r="A2149" s="29">
        <v>45852</v>
      </c>
      <c r="B2149" s="13">
        <v>7290108359190</v>
      </c>
      <c r="C2149" t="s">
        <v>22</v>
      </c>
      <c r="D2149">
        <v>0</v>
      </c>
    </row>
    <row r="2150" spans="1:4" x14ac:dyDescent="0.45">
      <c r="A2150" s="29">
        <v>45852</v>
      </c>
      <c r="B2150" s="13">
        <v>8001090184375</v>
      </c>
      <c r="C2150" t="s">
        <v>22</v>
      </c>
      <c r="D2150">
        <v>2</v>
      </c>
    </row>
    <row r="2151" spans="1:4" x14ac:dyDescent="0.45">
      <c r="A2151" s="29">
        <v>45852</v>
      </c>
      <c r="B2151" s="13">
        <v>8001090184412</v>
      </c>
      <c r="C2151" t="s">
        <v>22</v>
      </c>
      <c r="D2151">
        <v>5</v>
      </c>
    </row>
    <row r="2152" spans="1:4" x14ac:dyDescent="0.45">
      <c r="A2152" s="29">
        <v>45852</v>
      </c>
      <c r="B2152" s="13">
        <v>8001841625362</v>
      </c>
      <c r="C2152" t="s">
        <v>22</v>
      </c>
      <c r="D2152">
        <v>1</v>
      </c>
    </row>
    <row r="2153" spans="1:4" x14ac:dyDescent="0.45">
      <c r="A2153" s="29">
        <v>45852</v>
      </c>
      <c r="B2153" s="13">
        <v>8001841893990</v>
      </c>
      <c r="C2153" t="s">
        <v>22</v>
      </c>
      <c r="D2153">
        <v>0</v>
      </c>
    </row>
    <row r="2154" spans="1:4" x14ac:dyDescent="0.45">
      <c r="A2154" s="29">
        <v>45852</v>
      </c>
      <c r="B2154" s="13">
        <v>8006540429327</v>
      </c>
      <c r="C2154" t="s">
        <v>22</v>
      </c>
      <c r="D2154">
        <v>4</v>
      </c>
    </row>
    <row r="2155" spans="1:4" x14ac:dyDescent="0.45">
      <c r="A2155" s="29">
        <v>45852</v>
      </c>
      <c r="B2155" s="13">
        <v>8700216163811</v>
      </c>
      <c r="C2155" t="s">
        <v>22</v>
      </c>
      <c r="D2155">
        <v>4</v>
      </c>
    </row>
    <row r="2156" spans="1:4" x14ac:dyDescent="0.45">
      <c r="A2156" s="29">
        <v>45852</v>
      </c>
      <c r="B2156" s="13">
        <v>8700216236034</v>
      </c>
      <c r="C2156" t="s">
        <v>22</v>
      </c>
      <c r="D2156">
        <v>2</v>
      </c>
    </row>
    <row r="2157" spans="1:4" x14ac:dyDescent="0.45">
      <c r="A2157" s="29">
        <v>45852</v>
      </c>
      <c r="B2157" s="13">
        <v>8700216236751</v>
      </c>
      <c r="C2157" t="s">
        <v>22</v>
      </c>
      <c r="D2157">
        <v>2</v>
      </c>
    </row>
    <row r="2158" spans="1:4" x14ac:dyDescent="0.45">
      <c r="A2158" s="29">
        <v>45853</v>
      </c>
      <c r="B2158" s="13">
        <v>4084500088917</v>
      </c>
      <c r="C2158" t="s">
        <v>22</v>
      </c>
      <c r="D2158">
        <v>4</v>
      </c>
    </row>
    <row r="2159" spans="1:4" x14ac:dyDescent="0.45">
      <c r="A2159" s="29">
        <v>45853</v>
      </c>
      <c r="B2159" s="13">
        <v>4084500853836</v>
      </c>
      <c r="C2159" t="s">
        <v>22</v>
      </c>
      <c r="D2159">
        <v>5</v>
      </c>
    </row>
    <row r="2160" spans="1:4" x14ac:dyDescent="0.45">
      <c r="A2160" s="29">
        <v>45853</v>
      </c>
      <c r="B2160" s="13">
        <v>7290000286921</v>
      </c>
      <c r="C2160" t="s">
        <v>22</v>
      </c>
      <c r="D2160">
        <v>1</v>
      </c>
    </row>
    <row r="2161" spans="1:4" x14ac:dyDescent="0.45">
      <c r="A2161" s="29">
        <v>45853</v>
      </c>
      <c r="B2161" s="13">
        <v>7290000288024</v>
      </c>
      <c r="C2161" t="s">
        <v>22</v>
      </c>
      <c r="D2161">
        <v>4</v>
      </c>
    </row>
    <row r="2162" spans="1:4" x14ac:dyDescent="0.45">
      <c r="A2162" s="29">
        <v>45853</v>
      </c>
      <c r="B2162" s="13">
        <v>7290000288307</v>
      </c>
      <c r="C2162" t="s">
        <v>22</v>
      </c>
      <c r="D2162">
        <v>0</v>
      </c>
    </row>
    <row r="2163" spans="1:4" x14ac:dyDescent="0.45">
      <c r="A2163" s="29">
        <v>45853</v>
      </c>
      <c r="B2163" s="13">
        <v>7290000288659</v>
      </c>
      <c r="C2163" t="s">
        <v>22</v>
      </c>
      <c r="D2163">
        <v>0</v>
      </c>
    </row>
    <row r="2164" spans="1:4" x14ac:dyDescent="0.45">
      <c r="A2164" s="29">
        <v>45853</v>
      </c>
      <c r="B2164" s="13">
        <v>7290000292915</v>
      </c>
      <c r="C2164" t="s">
        <v>22</v>
      </c>
      <c r="D2164">
        <v>1</v>
      </c>
    </row>
    <row r="2165" spans="1:4" x14ac:dyDescent="0.45">
      <c r="A2165" s="29">
        <v>45853</v>
      </c>
      <c r="B2165" s="13">
        <v>7290000294780</v>
      </c>
      <c r="C2165" t="s">
        <v>22</v>
      </c>
      <c r="D2165">
        <v>5</v>
      </c>
    </row>
    <row r="2166" spans="1:4" x14ac:dyDescent="0.45">
      <c r="A2166" s="29">
        <v>45853</v>
      </c>
      <c r="B2166" s="13">
        <v>7290000295367</v>
      </c>
      <c r="C2166" t="s">
        <v>22</v>
      </c>
      <c r="D2166">
        <v>2</v>
      </c>
    </row>
    <row r="2167" spans="1:4" x14ac:dyDescent="0.45">
      <c r="A2167" s="29">
        <v>45853</v>
      </c>
      <c r="B2167" s="13">
        <v>7290000295541</v>
      </c>
      <c r="C2167" t="s">
        <v>22</v>
      </c>
      <c r="D2167">
        <v>0</v>
      </c>
    </row>
    <row r="2168" spans="1:4" x14ac:dyDescent="0.45">
      <c r="A2168" s="29">
        <v>45853</v>
      </c>
      <c r="B2168" s="13">
        <v>7290001246610</v>
      </c>
      <c r="C2168" t="s">
        <v>22</v>
      </c>
      <c r="D2168">
        <v>1</v>
      </c>
    </row>
    <row r="2169" spans="1:4" x14ac:dyDescent="0.45">
      <c r="A2169" s="29">
        <v>45853</v>
      </c>
      <c r="B2169" s="13">
        <v>7290005424700</v>
      </c>
      <c r="C2169" t="s">
        <v>22</v>
      </c>
      <c r="D2169">
        <v>3</v>
      </c>
    </row>
    <row r="2170" spans="1:4" x14ac:dyDescent="0.45">
      <c r="A2170" s="29">
        <v>45853</v>
      </c>
      <c r="B2170" s="13">
        <v>7290005425110</v>
      </c>
      <c r="C2170" t="s">
        <v>22</v>
      </c>
      <c r="D2170">
        <v>3</v>
      </c>
    </row>
    <row r="2171" spans="1:4" x14ac:dyDescent="0.45">
      <c r="A2171" s="29">
        <v>45853</v>
      </c>
      <c r="B2171" s="13">
        <v>7290005425196</v>
      </c>
      <c r="C2171" t="s">
        <v>22</v>
      </c>
      <c r="D2171">
        <v>2</v>
      </c>
    </row>
    <row r="2172" spans="1:4" x14ac:dyDescent="0.45">
      <c r="A2172" s="29">
        <v>45853</v>
      </c>
      <c r="B2172" s="13">
        <v>7290012116025</v>
      </c>
      <c r="C2172" t="s">
        <v>22</v>
      </c>
      <c r="D2172">
        <v>2</v>
      </c>
    </row>
    <row r="2173" spans="1:4" x14ac:dyDescent="0.45">
      <c r="A2173" s="29">
        <v>45853</v>
      </c>
      <c r="B2173" s="13">
        <v>7290012117534</v>
      </c>
      <c r="C2173" t="s">
        <v>22</v>
      </c>
      <c r="D2173">
        <v>2</v>
      </c>
    </row>
    <row r="2174" spans="1:4" x14ac:dyDescent="0.45">
      <c r="A2174" s="29">
        <v>45853</v>
      </c>
      <c r="B2174" s="13">
        <v>7290013268204</v>
      </c>
      <c r="C2174" t="s">
        <v>22</v>
      </c>
      <c r="D2174">
        <v>1</v>
      </c>
    </row>
    <row r="2175" spans="1:4" x14ac:dyDescent="0.45">
      <c r="A2175" s="29">
        <v>45853</v>
      </c>
      <c r="B2175" s="13">
        <v>7290013268891</v>
      </c>
      <c r="C2175" t="s">
        <v>22</v>
      </c>
      <c r="D2175">
        <v>2</v>
      </c>
    </row>
    <row r="2176" spans="1:4" x14ac:dyDescent="0.45">
      <c r="A2176" s="29">
        <v>45853</v>
      </c>
      <c r="B2176" s="13">
        <v>7290013269003</v>
      </c>
      <c r="C2176" t="s">
        <v>22</v>
      </c>
      <c r="D2176">
        <v>1</v>
      </c>
    </row>
    <row r="2177" spans="1:4" x14ac:dyDescent="0.45">
      <c r="A2177" s="29">
        <v>45853</v>
      </c>
      <c r="B2177" s="13">
        <v>7290014397453</v>
      </c>
      <c r="C2177" t="s">
        <v>22</v>
      </c>
      <c r="D2177">
        <v>2</v>
      </c>
    </row>
    <row r="2178" spans="1:4" x14ac:dyDescent="0.45">
      <c r="A2178" s="29">
        <v>45853</v>
      </c>
      <c r="B2178" s="13">
        <v>7290019274483</v>
      </c>
      <c r="C2178" t="s">
        <v>22</v>
      </c>
      <c r="D2178">
        <v>2</v>
      </c>
    </row>
    <row r="2179" spans="1:4" x14ac:dyDescent="0.45">
      <c r="A2179" s="29">
        <v>45853</v>
      </c>
      <c r="B2179" s="13">
        <v>7290019274490</v>
      </c>
      <c r="C2179" t="s">
        <v>22</v>
      </c>
      <c r="D2179">
        <v>1</v>
      </c>
    </row>
    <row r="2180" spans="1:4" x14ac:dyDescent="0.45">
      <c r="A2180" s="29">
        <v>45853</v>
      </c>
      <c r="B2180" s="13">
        <v>7290019611325</v>
      </c>
      <c r="C2180" t="s">
        <v>22</v>
      </c>
      <c r="D2180">
        <v>1</v>
      </c>
    </row>
    <row r="2181" spans="1:4" x14ac:dyDescent="0.45">
      <c r="A2181" s="29">
        <v>45853</v>
      </c>
      <c r="B2181" s="13">
        <v>7290103702489</v>
      </c>
      <c r="C2181" t="s">
        <v>22</v>
      </c>
      <c r="D2181">
        <v>5</v>
      </c>
    </row>
    <row r="2182" spans="1:4" x14ac:dyDescent="0.45">
      <c r="A2182" s="29">
        <v>45853</v>
      </c>
      <c r="B2182" s="13">
        <v>7290103703370</v>
      </c>
      <c r="C2182" t="s">
        <v>22</v>
      </c>
      <c r="D2182">
        <v>5</v>
      </c>
    </row>
    <row r="2183" spans="1:4" x14ac:dyDescent="0.45">
      <c r="A2183" s="29">
        <v>45853</v>
      </c>
      <c r="B2183" s="13">
        <v>7290103704155</v>
      </c>
      <c r="C2183" t="s">
        <v>22</v>
      </c>
      <c r="D2183">
        <v>5</v>
      </c>
    </row>
    <row r="2184" spans="1:4" x14ac:dyDescent="0.45">
      <c r="A2184" s="29">
        <v>45853</v>
      </c>
      <c r="B2184" s="13">
        <v>7290103704179</v>
      </c>
      <c r="C2184" t="s">
        <v>22</v>
      </c>
      <c r="D2184">
        <v>5</v>
      </c>
    </row>
    <row r="2185" spans="1:4" x14ac:dyDescent="0.45">
      <c r="A2185" s="29">
        <v>45853</v>
      </c>
      <c r="B2185" s="13">
        <v>7290103704919</v>
      </c>
      <c r="C2185" t="s">
        <v>22</v>
      </c>
      <c r="D2185">
        <v>4</v>
      </c>
    </row>
    <row r="2186" spans="1:4" x14ac:dyDescent="0.45">
      <c r="A2186" s="29">
        <v>45853</v>
      </c>
      <c r="B2186" s="13">
        <v>7290107280099</v>
      </c>
      <c r="C2186" t="s">
        <v>22</v>
      </c>
      <c r="D2186">
        <v>1</v>
      </c>
    </row>
    <row r="2187" spans="1:4" x14ac:dyDescent="0.45">
      <c r="A2187" s="29">
        <v>45853</v>
      </c>
      <c r="B2187" s="13">
        <v>7290108351699</v>
      </c>
      <c r="C2187" t="s">
        <v>22</v>
      </c>
      <c r="D2187">
        <v>1</v>
      </c>
    </row>
    <row r="2188" spans="1:4" x14ac:dyDescent="0.45">
      <c r="A2188" s="29">
        <v>45853</v>
      </c>
      <c r="B2188" s="13">
        <v>7290108352702</v>
      </c>
      <c r="C2188" t="s">
        <v>22</v>
      </c>
      <c r="D2188">
        <v>0</v>
      </c>
    </row>
    <row r="2189" spans="1:4" x14ac:dyDescent="0.45">
      <c r="A2189" s="29">
        <v>45853</v>
      </c>
      <c r="B2189" s="13">
        <v>7290108356298</v>
      </c>
      <c r="C2189" t="s">
        <v>22</v>
      </c>
      <c r="D2189">
        <v>1</v>
      </c>
    </row>
    <row r="2190" spans="1:4" x14ac:dyDescent="0.45">
      <c r="A2190" s="29">
        <v>45853</v>
      </c>
      <c r="B2190" s="13">
        <v>7290108356700</v>
      </c>
      <c r="C2190" t="s">
        <v>22</v>
      </c>
      <c r="D2190">
        <v>0</v>
      </c>
    </row>
    <row r="2191" spans="1:4" x14ac:dyDescent="0.45">
      <c r="A2191" s="29">
        <v>45853</v>
      </c>
      <c r="B2191" s="13">
        <v>7290108356717</v>
      </c>
      <c r="C2191" t="s">
        <v>22</v>
      </c>
      <c r="D2191">
        <v>2</v>
      </c>
    </row>
    <row r="2192" spans="1:4" x14ac:dyDescent="0.45">
      <c r="A2192" s="29">
        <v>45853</v>
      </c>
      <c r="B2192" s="13">
        <v>7290108356724</v>
      </c>
      <c r="C2192" t="s">
        <v>22</v>
      </c>
      <c r="D2192">
        <v>3</v>
      </c>
    </row>
    <row r="2193" spans="1:4" x14ac:dyDescent="0.45">
      <c r="A2193" s="29">
        <v>45853</v>
      </c>
      <c r="B2193" s="13">
        <v>7290108357240</v>
      </c>
      <c r="C2193" t="s">
        <v>22</v>
      </c>
      <c r="D2193">
        <v>2</v>
      </c>
    </row>
    <row r="2194" spans="1:4" x14ac:dyDescent="0.45">
      <c r="A2194" s="29">
        <v>45853</v>
      </c>
      <c r="B2194" s="13">
        <v>7290108357288</v>
      </c>
      <c r="C2194" t="s">
        <v>22</v>
      </c>
      <c r="D2194">
        <v>5</v>
      </c>
    </row>
    <row r="2195" spans="1:4" x14ac:dyDescent="0.45">
      <c r="A2195" s="29">
        <v>45853</v>
      </c>
      <c r="B2195" s="13">
        <v>7290108357844</v>
      </c>
      <c r="C2195" t="s">
        <v>22</v>
      </c>
      <c r="D2195">
        <v>3</v>
      </c>
    </row>
    <row r="2196" spans="1:4" x14ac:dyDescent="0.45">
      <c r="A2196" s="29">
        <v>45853</v>
      </c>
      <c r="B2196" s="13">
        <v>7290108359077</v>
      </c>
      <c r="C2196" t="s">
        <v>22</v>
      </c>
      <c r="D2196">
        <v>1</v>
      </c>
    </row>
    <row r="2197" spans="1:4" x14ac:dyDescent="0.45">
      <c r="A2197" s="29">
        <v>45853</v>
      </c>
      <c r="B2197" s="13">
        <v>7290108359176</v>
      </c>
      <c r="C2197" t="s">
        <v>22</v>
      </c>
      <c r="D2197">
        <v>0</v>
      </c>
    </row>
    <row r="2198" spans="1:4" x14ac:dyDescent="0.45">
      <c r="A2198" s="29">
        <v>45853</v>
      </c>
      <c r="B2198" s="13">
        <v>7290108359190</v>
      </c>
      <c r="C2198" t="s">
        <v>22</v>
      </c>
      <c r="D2198">
        <v>1</v>
      </c>
    </row>
    <row r="2199" spans="1:4" x14ac:dyDescent="0.45">
      <c r="A2199" s="29">
        <v>45853</v>
      </c>
      <c r="B2199" s="13">
        <v>8001090184375</v>
      </c>
      <c r="C2199" t="s">
        <v>22</v>
      </c>
      <c r="D2199">
        <v>2</v>
      </c>
    </row>
    <row r="2200" spans="1:4" x14ac:dyDescent="0.45">
      <c r="A2200" s="29">
        <v>45853</v>
      </c>
      <c r="B2200" s="13">
        <v>8001090184412</v>
      </c>
      <c r="C2200" t="s">
        <v>22</v>
      </c>
      <c r="D2200">
        <v>4</v>
      </c>
    </row>
    <row r="2201" spans="1:4" x14ac:dyDescent="0.45">
      <c r="A2201" s="29">
        <v>45853</v>
      </c>
      <c r="B2201" s="13">
        <v>8001841625362</v>
      </c>
      <c r="C2201" t="s">
        <v>22</v>
      </c>
      <c r="D2201">
        <v>2</v>
      </c>
    </row>
    <row r="2202" spans="1:4" x14ac:dyDescent="0.45">
      <c r="A2202" s="29">
        <v>45853</v>
      </c>
      <c r="B2202" s="13">
        <v>8001841893990</v>
      </c>
      <c r="C2202" t="s">
        <v>22</v>
      </c>
      <c r="D2202">
        <v>0</v>
      </c>
    </row>
    <row r="2203" spans="1:4" x14ac:dyDescent="0.45">
      <c r="A2203" s="29">
        <v>45853</v>
      </c>
      <c r="B2203" s="13">
        <v>8006540429327</v>
      </c>
      <c r="C2203" t="s">
        <v>22</v>
      </c>
      <c r="D2203">
        <v>5</v>
      </c>
    </row>
    <row r="2204" spans="1:4" x14ac:dyDescent="0.45">
      <c r="A2204" s="29">
        <v>45853</v>
      </c>
      <c r="B2204" s="13">
        <v>8700216163811</v>
      </c>
      <c r="C2204" t="s">
        <v>22</v>
      </c>
      <c r="D2204">
        <v>4</v>
      </c>
    </row>
    <row r="2205" spans="1:4" x14ac:dyDescent="0.45">
      <c r="A2205" s="29">
        <v>45853</v>
      </c>
      <c r="B2205" s="13">
        <v>8700216236034</v>
      </c>
      <c r="C2205" t="s">
        <v>22</v>
      </c>
      <c r="D2205">
        <v>1</v>
      </c>
    </row>
    <row r="2206" spans="1:4" x14ac:dyDescent="0.45">
      <c r="A2206" s="29">
        <v>45853</v>
      </c>
      <c r="B2206" s="13">
        <v>8700216236751</v>
      </c>
      <c r="C2206" t="s">
        <v>22</v>
      </c>
      <c r="D2206">
        <v>1</v>
      </c>
    </row>
    <row r="2207" spans="1:4" x14ac:dyDescent="0.45">
      <c r="A2207" s="29">
        <v>45854</v>
      </c>
      <c r="B2207" s="13">
        <v>4084500088917</v>
      </c>
      <c r="C2207" t="s">
        <v>22</v>
      </c>
    </row>
    <row r="2208" spans="1:4" x14ac:dyDescent="0.45">
      <c r="A2208" s="29">
        <v>45854</v>
      </c>
      <c r="B2208" s="13">
        <v>4084500853836</v>
      </c>
      <c r="C2208" t="s">
        <v>22</v>
      </c>
    </row>
    <row r="2209" spans="1:3" x14ac:dyDescent="0.45">
      <c r="A2209" s="29">
        <v>45854</v>
      </c>
      <c r="B2209" s="13">
        <v>7290000286921</v>
      </c>
      <c r="C2209" t="s">
        <v>22</v>
      </c>
    </row>
    <row r="2210" spans="1:3" x14ac:dyDescent="0.45">
      <c r="A2210" s="29">
        <v>45854</v>
      </c>
      <c r="B2210" s="13">
        <v>7290000288024</v>
      </c>
      <c r="C2210" t="s">
        <v>22</v>
      </c>
    </row>
    <row r="2211" spans="1:3" x14ac:dyDescent="0.45">
      <c r="B2211" s="13">
        <v>7290000288307</v>
      </c>
      <c r="C2211" t="s">
        <v>22</v>
      </c>
    </row>
    <row r="2212" spans="1:3" x14ac:dyDescent="0.45">
      <c r="B2212" s="13">
        <v>7290000288659</v>
      </c>
      <c r="C2212" t="s">
        <v>22</v>
      </c>
    </row>
    <row r="2213" spans="1:3" x14ac:dyDescent="0.45">
      <c r="B2213" s="13">
        <v>7290000292915</v>
      </c>
      <c r="C2213" t="s">
        <v>22</v>
      </c>
    </row>
    <row r="2214" spans="1:3" x14ac:dyDescent="0.45">
      <c r="B2214" s="13">
        <v>7290000294780</v>
      </c>
      <c r="C2214" t="s">
        <v>22</v>
      </c>
    </row>
    <row r="2215" spans="1:3" x14ac:dyDescent="0.45">
      <c r="B2215" s="13">
        <v>7290000295367</v>
      </c>
      <c r="C2215" t="s">
        <v>22</v>
      </c>
    </row>
    <row r="2216" spans="1:3" x14ac:dyDescent="0.45">
      <c r="B2216" s="13">
        <v>7290000295541</v>
      </c>
      <c r="C2216" t="s">
        <v>22</v>
      </c>
    </row>
    <row r="2217" spans="1:3" x14ac:dyDescent="0.45">
      <c r="B2217" s="13">
        <v>7290001246610</v>
      </c>
      <c r="C2217" t="s">
        <v>22</v>
      </c>
    </row>
    <row r="2218" spans="1:3" x14ac:dyDescent="0.45">
      <c r="B2218" s="13">
        <v>7290005424700</v>
      </c>
      <c r="C2218" t="s">
        <v>22</v>
      </c>
    </row>
    <row r="2219" spans="1:3" x14ac:dyDescent="0.45">
      <c r="B2219" s="13">
        <v>7290005425110</v>
      </c>
      <c r="C2219" t="s">
        <v>22</v>
      </c>
    </row>
    <row r="2220" spans="1:3" x14ac:dyDescent="0.45">
      <c r="B2220" s="13">
        <v>7290005425196</v>
      </c>
      <c r="C2220" t="s">
        <v>22</v>
      </c>
    </row>
    <row r="2221" spans="1:3" x14ac:dyDescent="0.45">
      <c r="B2221" s="13">
        <v>7290012116025</v>
      </c>
      <c r="C2221" t="s">
        <v>22</v>
      </c>
    </row>
    <row r="2222" spans="1:3" x14ac:dyDescent="0.45">
      <c r="B2222" s="13">
        <v>7290012117534</v>
      </c>
      <c r="C2222" t="s">
        <v>22</v>
      </c>
    </row>
    <row r="2223" spans="1:3" x14ac:dyDescent="0.45">
      <c r="B2223" s="13">
        <v>7290013268204</v>
      </c>
      <c r="C2223" t="s">
        <v>22</v>
      </c>
    </row>
    <row r="2224" spans="1:3" x14ac:dyDescent="0.45">
      <c r="B2224" s="13">
        <v>7290013268891</v>
      </c>
      <c r="C2224" t="s">
        <v>22</v>
      </c>
    </row>
    <row r="2225" spans="2:3" x14ac:dyDescent="0.45">
      <c r="B2225" s="13">
        <v>7290013269003</v>
      </c>
      <c r="C2225" t="s">
        <v>22</v>
      </c>
    </row>
    <row r="2226" spans="2:3" x14ac:dyDescent="0.45">
      <c r="B2226" s="13">
        <v>7290014397453</v>
      </c>
      <c r="C2226" t="s">
        <v>22</v>
      </c>
    </row>
    <row r="2227" spans="2:3" x14ac:dyDescent="0.45">
      <c r="B2227" s="13">
        <v>7290019274483</v>
      </c>
      <c r="C2227" t="s">
        <v>22</v>
      </c>
    </row>
    <row r="2228" spans="2:3" x14ac:dyDescent="0.45">
      <c r="B2228" s="13">
        <v>7290019274490</v>
      </c>
      <c r="C2228" t="s">
        <v>22</v>
      </c>
    </row>
    <row r="2229" spans="2:3" x14ac:dyDescent="0.45">
      <c r="B2229" s="13">
        <v>7290019611325</v>
      </c>
      <c r="C2229" t="s">
        <v>22</v>
      </c>
    </row>
    <row r="2230" spans="2:3" x14ac:dyDescent="0.45">
      <c r="B2230" s="13">
        <v>7290103702489</v>
      </c>
      <c r="C2230" t="s">
        <v>22</v>
      </c>
    </row>
    <row r="2231" spans="2:3" x14ac:dyDescent="0.45">
      <c r="B2231" s="13">
        <v>7290103703370</v>
      </c>
      <c r="C2231" t="s">
        <v>22</v>
      </c>
    </row>
    <row r="2232" spans="2:3" x14ac:dyDescent="0.45">
      <c r="B2232" s="13">
        <v>7290103704155</v>
      </c>
      <c r="C2232" t="s">
        <v>22</v>
      </c>
    </row>
    <row r="2233" spans="2:3" x14ac:dyDescent="0.45">
      <c r="B2233" s="13">
        <v>7290103704179</v>
      </c>
      <c r="C2233" t="s">
        <v>22</v>
      </c>
    </row>
    <row r="2234" spans="2:3" x14ac:dyDescent="0.45">
      <c r="B2234" s="13">
        <v>7290103704919</v>
      </c>
      <c r="C2234" t="s">
        <v>22</v>
      </c>
    </row>
    <row r="2235" spans="2:3" x14ac:dyDescent="0.45">
      <c r="B2235" s="13">
        <v>7290107280099</v>
      </c>
      <c r="C2235" t="s">
        <v>22</v>
      </c>
    </row>
    <row r="2236" spans="2:3" x14ac:dyDescent="0.45">
      <c r="B2236" s="13">
        <v>7290108351699</v>
      </c>
      <c r="C2236" t="s">
        <v>22</v>
      </c>
    </row>
    <row r="2237" spans="2:3" x14ac:dyDescent="0.45">
      <c r="B2237" s="13">
        <v>7290108352702</v>
      </c>
      <c r="C2237" t="s">
        <v>22</v>
      </c>
    </row>
    <row r="2238" spans="2:3" x14ac:dyDescent="0.45">
      <c r="B2238" s="13">
        <v>7290108356298</v>
      </c>
      <c r="C2238" t="s">
        <v>22</v>
      </c>
    </row>
    <row r="2239" spans="2:3" x14ac:dyDescent="0.45">
      <c r="B2239" s="13">
        <v>7290108356700</v>
      </c>
      <c r="C2239" t="s">
        <v>22</v>
      </c>
    </row>
    <row r="2240" spans="2:3" x14ac:dyDescent="0.45">
      <c r="B2240" s="13">
        <v>7290108356717</v>
      </c>
      <c r="C2240" t="s">
        <v>22</v>
      </c>
    </row>
    <row r="2241" spans="2:3" x14ac:dyDescent="0.45">
      <c r="B2241" s="13">
        <v>7290108356724</v>
      </c>
      <c r="C2241" t="s">
        <v>22</v>
      </c>
    </row>
    <row r="2242" spans="2:3" x14ac:dyDescent="0.45">
      <c r="B2242" s="13">
        <v>7290108357240</v>
      </c>
      <c r="C2242" t="s">
        <v>22</v>
      </c>
    </row>
    <row r="2243" spans="2:3" x14ac:dyDescent="0.45">
      <c r="B2243" s="13">
        <v>7290108357288</v>
      </c>
      <c r="C2243" t="s">
        <v>22</v>
      </c>
    </row>
    <row r="2244" spans="2:3" x14ac:dyDescent="0.45">
      <c r="B2244" s="13">
        <v>7290108357844</v>
      </c>
      <c r="C2244" t="s">
        <v>22</v>
      </c>
    </row>
    <row r="2245" spans="2:3" x14ac:dyDescent="0.45">
      <c r="B2245" s="13">
        <v>7290108359077</v>
      </c>
      <c r="C2245" t="s">
        <v>22</v>
      </c>
    </row>
    <row r="2246" spans="2:3" x14ac:dyDescent="0.45">
      <c r="B2246" s="13">
        <v>7290108359176</v>
      </c>
      <c r="C2246" t="s">
        <v>22</v>
      </c>
    </row>
    <row r="2247" spans="2:3" x14ac:dyDescent="0.45">
      <c r="B2247" s="13">
        <v>7290108359190</v>
      </c>
      <c r="C2247" t="s">
        <v>22</v>
      </c>
    </row>
    <row r="2248" spans="2:3" x14ac:dyDescent="0.45">
      <c r="B2248" s="13">
        <v>8001090184375</v>
      </c>
      <c r="C2248" t="s">
        <v>22</v>
      </c>
    </row>
    <row r="2249" spans="2:3" x14ac:dyDescent="0.45">
      <c r="B2249" s="13">
        <v>8001090184412</v>
      </c>
      <c r="C2249" t="s">
        <v>22</v>
      </c>
    </row>
    <row r="2250" spans="2:3" x14ac:dyDescent="0.45">
      <c r="B2250" s="13">
        <v>8001841625362</v>
      </c>
      <c r="C2250" t="s">
        <v>22</v>
      </c>
    </row>
    <row r="2251" spans="2:3" x14ac:dyDescent="0.45">
      <c r="B2251" s="13">
        <v>8001841893990</v>
      </c>
      <c r="C2251" t="s">
        <v>22</v>
      </c>
    </row>
    <row r="2252" spans="2:3" x14ac:dyDescent="0.45">
      <c r="B2252" s="13">
        <v>8006540429327</v>
      </c>
      <c r="C2252" t="s">
        <v>22</v>
      </c>
    </row>
    <row r="2253" spans="2:3" x14ac:dyDescent="0.45">
      <c r="B2253" s="13">
        <v>8700216163811</v>
      </c>
      <c r="C2253" t="s">
        <v>22</v>
      </c>
    </row>
    <row r="2254" spans="2:3" x14ac:dyDescent="0.45">
      <c r="B2254" s="13">
        <v>8700216236034</v>
      </c>
      <c r="C2254" t="s">
        <v>22</v>
      </c>
    </row>
    <row r="2255" spans="2:3" x14ac:dyDescent="0.45">
      <c r="B2255" s="13">
        <v>8700216236751</v>
      </c>
      <c r="C2255" t="s">
        <v>22</v>
      </c>
    </row>
    <row r="2256" spans="2:3" x14ac:dyDescent="0.45">
      <c r="B2256" s="13">
        <v>4084500088917</v>
      </c>
      <c r="C2256" t="s">
        <v>22</v>
      </c>
    </row>
    <row r="2257" spans="2:3" x14ac:dyDescent="0.45">
      <c r="B2257" s="13">
        <v>4084500853836</v>
      </c>
      <c r="C2257" t="s">
        <v>22</v>
      </c>
    </row>
    <row r="2258" spans="2:3" x14ac:dyDescent="0.45">
      <c r="B2258" s="13">
        <v>7290000286921</v>
      </c>
      <c r="C2258" t="s">
        <v>22</v>
      </c>
    </row>
    <row r="2259" spans="2:3" x14ac:dyDescent="0.45">
      <c r="B2259" s="13">
        <v>7290000288024</v>
      </c>
      <c r="C2259" t="s">
        <v>22</v>
      </c>
    </row>
    <row r="2260" spans="2:3" x14ac:dyDescent="0.45">
      <c r="B2260" s="13">
        <v>7290000288307</v>
      </c>
      <c r="C2260" t="s">
        <v>22</v>
      </c>
    </row>
    <row r="2261" spans="2:3" x14ac:dyDescent="0.45">
      <c r="B2261" s="13">
        <v>7290000288659</v>
      </c>
      <c r="C2261" t="s">
        <v>22</v>
      </c>
    </row>
    <row r="2262" spans="2:3" x14ac:dyDescent="0.45">
      <c r="B2262" s="13">
        <v>7290000292915</v>
      </c>
      <c r="C2262" t="s">
        <v>22</v>
      </c>
    </row>
    <row r="2263" spans="2:3" x14ac:dyDescent="0.45">
      <c r="B2263" s="13">
        <v>7290000294780</v>
      </c>
      <c r="C2263" t="s">
        <v>22</v>
      </c>
    </row>
    <row r="2264" spans="2:3" x14ac:dyDescent="0.45">
      <c r="B2264" s="13">
        <v>7290000295367</v>
      </c>
      <c r="C2264" t="s">
        <v>22</v>
      </c>
    </row>
    <row r="2265" spans="2:3" x14ac:dyDescent="0.45">
      <c r="B2265" s="13">
        <v>7290000295541</v>
      </c>
      <c r="C2265" t="s">
        <v>22</v>
      </c>
    </row>
    <row r="2266" spans="2:3" x14ac:dyDescent="0.45">
      <c r="B2266" s="13">
        <v>7290001246610</v>
      </c>
      <c r="C2266" t="s">
        <v>22</v>
      </c>
    </row>
    <row r="2267" spans="2:3" x14ac:dyDescent="0.45">
      <c r="B2267" s="13">
        <v>7290005424700</v>
      </c>
      <c r="C2267" t="s">
        <v>22</v>
      </c>
    </row>
    <row r="2268" spans="2:3" x14ac:dyDescent="0.45">
      <c r="B2268" s="13">
        <v>7290005425110</v>
      </c>
      <c r="C2268" t="s">
        <v>22</v>
      </c>
    </row>
    <row r="2269" spans="2:3" x14ac:dyDescent="0.45">
      <c r="B2269" s="13">
        <v>7290005425196</v>
      </c>
      <c r="C2269" t="s">
        <v>22</v>
      </c>
    </row>
    <row r="2270" spans="2:3" x14ac:dyDescent="0.45">
      <c r="B2270" s="13">
        <v>7290012116025</v>
      </c>
      <c r="C2270" t="s">
        <v>22</v>
      </c>
    </row>
    <row r="2271" spans="2:3" x14ac:dyDescent="0.45">
      <c r="B2271" s="13">
        <v>7290012117534</v>
      </c>
      <c r="C2271" t="s">
        <v>22</v>
      </c>
    </row>
    <row r="2272" spans="2:3" x14ac:dyDescent="0.45">
      <c r="B2272" s="13">
        <v>7290013268204</v>
      </c>
      <c r="C2272" t="s">
        <v>22</v>
      </c>
    </row>
    <row r="2273" spans="2:3" x14ac:dyDescent="0.45">
      <c r="B2273" s="13">
        <v>7290013268891</v>
      </c>
      <c r="C2273" t="s">
        <v>22</v>
      </c>
    </row>
    <row r="2274" spans="2:3" x14ac:dyDescent="0.45">
      <c r="B2274" s="13">
        <v>7290013269003</v>
      </c>
      <c r="C2274" t="s">
        <v>22</v>
      </c>
    </row>
    <row r="2275" spans="2:3" x14ac:dyDescent="0.45">
      <c r="B2275" s="13">
        <v>7290014397453</v>
      </c>
      <c r="C2275" t="s">
        <v>22</v>
      </c>
    </row>
    <row r="2276" spans="2:3" x14ac:dyDescent="0.45">
      <c r="B2276" s="13">
        <v>7290019274483</v>
      </c>
      <c r="C2276" t="s">
        <v>22</v>
      </c>
    </row>
    <row r="2277" spans="2:3" x14ac:dyDescent="0.45">
      <c r="B2277" s="13">
        <v>7290019274490</v>
      </c>
      <c r="C2277" t="s">
        <v>22</v>
      </c>
    </row>
    <row r="2278" spans="2:3" x14ac:dyDescent="0.45">
      <c r="B2278" s="13">
        <v>7290019611325</v>
      </c>
      <c r="C2278" t="s">
        <v>22</v>
      </c>
    </row>
    <row r="2279" spans="2:3" x14ac:dyDescent="0.45">
      <c r="B2279" s="13">
        <v>7290103702489</v>
      </c>
      <c r="C2279" t="s">
        <v>22</v>
      </c>
    </row>
    <row r="2280" spans="2:3" x14ac:dyDescent="0.45">
      <c r="B2280" s="13">
        <v>7290103703370</v>
      </c>
      <c r="C2280" t="s">
        <v>22</v>
      </c>
    </row>
    <row r="2281" spans="2:3" x14ac:dyDescent="0.45">
      <c r="B2281" s="13">
        <v>7290103704155</v>
      </c>
      <c r="C2281" t="s">
        <v>22</v>
      </c>
    </row>
    <row r="2282" spans="2:3" x14ac:dyDescent="0.45">
      <c r="B2282" s="13">
        <v>7290103704179</v>
      </c>
      <c r="C2282" t="s">
        <v>22</v>
      </c>
    </row>
    <row r="2283" spans="2:3" x14ac:dyDescent="0.45">
      <c r="B2283" s="13">
        <v>7290103704919</v>
      </c>
      <c r="C2283" t="s">
        <v>22</v>
      </c>
    </row>
    <row r="2284" spans="2:3" x14ac:dyDescent="0.45">
      <c r="B2284" s="13">
        <v>7290107280099</v>
      </c>
      <c r="C2284" t="s">
        <v>22</v>
      </c>
    </row>
    <row r="2285" spans="2:3" x14ac:dyDescent="0.45">
      <c r="B2285" s="13">
        <v>7290108351699</v>
      </c>
      <c r="C2285" t="s">
        <v>22</v>
      </c>
    </row>
    <row r="2286" spans="2:3" x14ac:dyDescent="0.45">
      <c r="B2286" s="13">
        <v>7290108352702</v>
      </c>
      <c r="C2286" t="s">
        <v>22</v>
      </c>
    </row>
    <row r="2287" spans="2:3" x14ac:dyDescent="0.45">
      <c r="B2287" s="13">
        <v>7290108356298</v>
      </c>
      <c r="C2287" t="s">
        <v>22</v>
      </c>
    </row>
    <row r="2288" spans="2:3" x14ac:dyDescent="0.45">
      <c r="B2288" s="13">
        <v>7290108356700</v>
      </c>
      <c r="C2288" t="s">
        <v>22</v>
      </c>
    </row>
    <row r="2289" spans="2:3" x14ac:dyDescent="0.45">
      <c r="B2289" s="13">
        <v>7290108356717</v>
      </c>
      <c r="C2289" t="s">
        <v>22</v>
      </c>
    </row>
    <row r="2290" spans="2:3" x14ac:dyDescent="0.45">
      <c r="B2290" s="13">
        <v>7290108356724</v>
      </c>
      <c r="C2290" t="s">
        <v>22</v>
      </c>
    </row>
    <row r="2291" spans="2:3" x14ac:dyDescent="0.45">
      <c r="B2291" s="13">
        <v>7290108357240</v>
      </c>
      <c r="C2291" t="s">
        <v>22</v>
      </c>
    </row>
    <row r="2292" spans="2:3" x14ac:dyDescent="0.45">
      <c r="B2292" s="13">
        <v>7290108357288</v>
      </c>
      <c r="C2292" t="s">
        <v>22</v>
      </c>
    </row>
    <row r="2293" spans="2:3" x14ac:dyDescent="0.45">
      <c r="B2293" s="13">
        <v>7290108357844</v>
      </c>
      <c r="C2293" t="s">
        <v>22</v>
      </c>
    </row>
    <row r="2294" spans="2:3" x14ac:dyDescent="0.45">
      <c r="B2294" s="13">
        <v>7290108359077</v>
      </c>
      <c r="C2294" t="s">
        <v>22</v>
      </c>
    </row>
    <row r="2295" spans="2:3" x14ac:dyDescent="0.45">
      <c r="B2295" s="13">
        <v>7290108359176</v>
      </c>
      <c r="C2295" t="s">
        <v>22</v>
      </c>
    </row>
    <row r="2296" spans="2:3" x14ac:dyDescent="0.45">
      <c r="B2296" s="13">
        <v>7290108359190</v>
      </c>
      <c r="C2296" t="s">
        <v>22</v>
      </c>
    </row>
    <row r="2297" spans="2:3" x14ac:dyDescent="0.45">
      <c r="B2297" s="13">
        <v>8001090184375</v>
      </c>
      <c r="C2297" t="s">
        <v>22</v>
      </c>
    </row>
    <row r="2298" spans="2:3" x14ac:dyDescent="0.45">
      <c r="B2298" s="13">
        <v>8001090184412</v>
      </c>
      <c r="C2298" t="s">
        <v>22</v>
      </c>
    </row>
    <row r="2299" spans="2:3" x14ac:dyDescent="0.45">
      <c r="B2299" s="13">
        <v>8001841625362</v>
      </c>
      <c r="C2299" t="s">
        <v>22</v>
      </c>
    </row>
    <row r="2300" spans="2:3" x14ac:dyDescent="0.45">
      <c r="B2300" s="13">
        <v>8001841893990</v>
      </c>
      <c r="C2300" t="s">
        <v>22</v>
      </c>
    </row>
    <row r="2301" spans="2:3" x14ac:dyDescent="0.45">
      <c r="B2301" s="13">
        <v>8006540429327</v>
      </c>
      <c r="C2301" t="s">
        <v>22</v>
      </c>
    </row>
    <row r="2302" spans="2:3" x14ac:dyDescent="0.45">
      <c r="B2302" s="13">
        <v>8700216163811</v>
      </c>
      <c r="C2302" t="s">
        <v>22</v>
      </c>
    </row>
    <row r="2303" spans="2:3" x14ac:dyDescent="0.45">
      <c r="B2303" s="13">
        <v>8700216236034</v>
      </c>
      <c r="C2303" t="s">
        <v>22</v>
      </c>
    </row>
    <row r="2304" spans="2:3" x14ac:dyDescent="0.45">
      <c r="B2304" s="13">
        <v>8700216236751</v>
      </c>
      <c r="C2304" t="s">
        <v>22</v>
      </c>
    </row>
    <row r="2305" spans="2:3" x14ac:dyDescent="0.45">
      <c r="B2305" s="13">
        <v>4084500088917</v>
      </c>
      <c r="C2305" t="s">
        <v>22</v>
      </c>
    </row>
    <row r="2306" spans="2:3" x14ac:dyDescent="0.45">
      <c r="B2306" s="13">
        <v>4084500853836</v>
      </c>
      <c r="C2306" t="s">
        <v>22</v>
      </c>
    </row>
    <row r="2307" spans="2:3" x14ac:dyDescent="0.45">
      <c r="B2307" s="13">
        <v>7290000286921</v>
      </c>
      <c r="C2307" t="s">
        <v>22</v>
      </c>
    </row>
    <row r="2308" spans="2:3" x14ac:dyDescent="0.45">
      <c r="B2308" s="13">
        <v>7290000288024</v>
      </c>
      <c r="C2308" t="s">
        <v>22</v>
      </c>
    </row>
    <row r="2309" spans="2:3" x14ac:dyDescent="0.45">
      <c r="B2309" s="13">
        <v>7290000288307</v>
      </c>
      <c r="C2309" t="s">
        <v>22</v>
      </c>
    </row>
    <row r="2310" spans="2:3" x14ac:dyDescent="0.45">
      <c r="B2310" s="13">
        <v>7290000288659</v>
      </c>
      <c r="C2310" t="s">
        <v>22</v>
      </c>
    </row>
    <row r="2311" spans="2:3" x14ac:dyDescent="0.45">
      <c r="B2311" s="13">
        <v>7290000292915</v>
      </c>
      <c r="C2311" t="s">
        <v>22</v>
      </c>
    </row>
    <row r="2312" spans="2:3" x14ac:dyDescent="0.45">
      <c r="B2312" s="13">
        <v>7290000294780</v>
      </c>
      <c r="C2312" t="s">
        <v>22</v>
      </c>
    </row>
    <row r="2313" spans="2:3" x14ac:dyDescent="0.45">
      <c r="B2313" s="13">
        <v>7290000295367</v>
      </c>
      <c r="C2313" t="s">
        <v>22</v>
      </c>
    </row>
    <row r="2314" spans="2:3" x14ac:dyDescent="0.45">
      <c r="B2314" s="13">
        <v>7290000295541</v>
      </c>
      <c r="C2314" t="s">
        <v>22</v>
      </c>
    </row>
    <row r="2315" spans="2:3" x14ac:dyDescent="0.45">
      <c r="B2315" s="13">
        <v>7290001246610</v>
      </c>
      <c r="C2315" t="s">
        <v>22</v>
      </c>
    </row>
    <row r="2316" spans="2:3" x14ac:dyDescent="0.45">
      <c r="B2316" s="13">
        <v>7290005424700</v>
      </c>
      <c r="C2316" t="s">
        <v>22</v>
      </c>
    </row>
    <row r="2317" spans="2:3" x14ac:dyDescent="0.45">
      <c r="B2317" s="13">
        <v>7290005425110</v>
      </c>
      <c r="C2317" t="s">
        <v>22</v>
      </c>
    </row>
    <row r="2318" spans="2:3" x14ac:dyDescent="0.45">
      <c r="B2318" s="13">
        <v>7290005425196</v>
      </c>
      <c r="C2318" t="s">
        <v>22</v>
      </c>
    </row>
    <row r="2319" spans="2:3" x14ac:dyDescent="0.45">
      <c r="B2319" s="13">
        <v>7290012116025</v>
      </c>
      <c r="C2319" t="s">
        <v>22</v>
      </c>
    </row>
    <row r="2320" spans="2:3" x14ac:dyDescent="0.45">
      <c r="B2320" s="13">
        <v>7290012117534</v>
      </c>
      <c r="C2320" t="s">
        <v>22</v>
      </c>
    </row>
    <row r="2321" spans="2:3" x14ac:dyDescent="0.45">
      <c r="B2321" s="13">
        <v>7290013268204</v>
      </c>
      <c r="C2321" t="s">
        <v>22</v>
      </c>
    </row>
    <row r="2322" spans="2:3" x14ac:dyDescent="0.45">
      <c r="B2322" s="13">
        <v>7290013268891</v>
      </c>
      <c r="C2322" t="s">
        <v>22</v>
      </c>
    </row>
    <row r="2323" spans="2:3" x14ac:dyDescent="0.45">
      <c r="B2323" s="13">
        <v>7290013269003</v>
      </c>
      <c r="C2323" t="s">
        <v>22</v>
      </c>
    </row>
    <row r="2324" spans="2:3" x14ac:dyDescent="0.45">
      <c r="B2324" s="13">
        <v>7290014397453</v>
      </c>
      <c r="C2324" t="s">
        <v>22</v>
      </c>
    </row>
    <row r="2325" spans="2:3" x14ac:dyDescent="0.45">
      <c r="B2325" s="13">
        <v>7290019274483</v>
      </c>
      <c r="C2325" t="s">
        <v>22</v>
      </c>
    </row>
    <row r="2326" spans="2:3" x14ac:dyDescent="0.45">
      <c r="B2326" s="13">
        <v>7290019274490</v>
      </c>
      <c r="C2326" t="s">
        <v>22</v>
      </c>
    </row>
    <row r="2327" spans="2:3" x14ac:dyDescent="0.45">
      <c r="B2327" s="13">
        <v>7290019611325</v>
      </c>
      <c r="C2327" t="s">
        <v>22</v>
      </c>
    </row>
    <row r="2328" spans="2:3" x14ac:dyDescent="0.45">
      <c r="B2328" s="13">
        <v>7290103702489</v>
      </c>
      <c r="C2328" t="s">
        <v>22</v>
      </c>
    </row>
    <row r="2329" spans="2:3" x14ac:dyDescent="0.45">
      <c r="B2329" s="13">
        <v>7290103703370</v>
      </c>
      <c r="C2329" t="s">
        <v>22</v>
      </c>
    </row>
    <row r="2330" spans="2:3" x14ac:dyDescent="0.45">
      <c r="B2330" s="13">
        <v>7290103704155</v>
      </c>
      <c r="C2330" t="s">
        <v>22</v>
      </c>
    </row>
    <row r="2331" spans="2:3" x14ac:dyDescent="0.45">
      <c r="B2331" s="13">
        <v>7290103704179</v>
      </c>
      <c r="C2331" t="s">
        <v>22</v>
      </c>
    </row>
    <row r="2332" spans="2:3" x14ac:dyDescent="0.45">
      <c r="B2332" s="13">
        <v>7290103704919</v>
      </c>
      <c r="C2332" t="s">
        <v>22</v>
      </c>
    </row>
    <row r="2333" spans="2:3" x14ac:dyDescent="0.45">
      <c r="B2333" s="13">
        <v>7290107280099</v>
      </c>
      <c r="C2333" t="s">
        <v>22</v>
      </c>
    </row>
    <row r="2334" spans="2:3" x14ac:dyDescent="0.45">
      <c r="B2334" s="13">
        <v>7290108351699</v>
      </c>
      <c r="C2334" t="s">
        <v>22</v>
      </c>
    </row>
    <row r="2335" spans="2:3" x14ac:dyDescent="0.45">
      <c r="B2335" s="13">
        <v>7290108352702</v>
      </c>
      <c r="C2335" t="s">
        <v>22</v>
      </c>
    </row>
    <row r="2336" spans="2:3" x14ac:dyDescent="0.45">
      <c r="B2336" s="13">
        <v>7290108356298</v>
      </c>
      <c r="C2336" t="s">
        <v>22</v>
      </c>
    </row>
    <row r="2337" spans="2:3" x14ac:dyDescent="0.45">
      <c r="B2337" s="13">
        <v>7290108356700</v>
      </c>
      <c r="C2337" t="s">
        <v>22</v>
      </c>
    </row>
    <row r="2338" spans="2:3" x14ac:dyDescent="0.45">
      <c r="B2338" s="13">
        <v>7290108356717</v>
      </c>
      <c r="C2338" t="s">
        <v>22</v>
      </c>
    </row>
    <row r="2339" spans="2:3" x14ac:dyDescent="0.45">
      <c r="B2339" s="13">
        <v>7290108356724</v>
      </c>
      <c r="C2339" t="s">
        <v>22</v>
      </c>
    </row>
    <row r="2340" spans="2:3" x14ac:dyDescent="0.45">
      <c r="B2340" s="13">
        <v>7290108357240</v>
      </c>
      <c r="C2340" t="s">
        <v>22</v>
      </c>
    </row>
    <row r="2341" spans="2:3" x14ac:dyDescent="0.45">
      <c r="B2341" s="13">
        <v>7290108357288</v>
      </c>
      <c r="C2341" t="s">
        <v>22</v>
      </c>
    </row>
    <row r="2342" spans="2:3" x14ac:dyDescent="0.45">
      <c r="B2342" s="13">
        <v>7290108357844</v>
      </c>
      <c r="C2342" t="s">
        <v>22</v>
      </c>
    </row>
    <row r="2343" spans="2:3" x14ac:dyDescent="0.45">
      <c r="B2343" s="13">
        <v>7290108359077</v>
      </c>
      <c r="C2343" t="s">
        <v>22</v>
      </c>
    </row>
    <row r="2344" spans="2:3" x14ac:dyDescent="0.45">
      <c r="B2344" s="13">
        <v>7290108359176</v>
      </c>
      <c r="C2344" t="s">
        <v>22</v>
      </c>
    </row>
    <row r="2345" spans="2:3" x14ac:dyDescent="0.45">
      <c r="B2345" s="13">
        <v>7290108359190</v>
      </c>
      <c r="C2345" t="s">
        <v>22</v>
      </c>
    </row>
    <row r="2346" spans="2:3" x14ac:dyDescent="0.45">
      <c r="B2346" s="13">
        <v>8001090184375</v>
      </c>
      <c r="C2346" t="s">
        <v>22</v>
      </c>
    </row>
    <row r="2347" spans="2:3" x14ac:dyDescent="0.45">
      <c r="B2347" s="13">
        <v>8001090184412</v>
      </c>
      <c r="C2347" t="s">
        <v>22</v>
      </c>
    </row>
    <row r="2348" spans="2:3" x14ac:dyDescent="0.45">
      <c r="B2348" s="13">
        <v>8001841625362</v>
      </c>
      <c r="C2348" t="s">
        <v>22</v>
      </c>
    </row>
    <row r="2349" spans="2:3" x14ac:dyDescent="0.45">
      <c r="B2349" s="13">
        <v>8001841893990</v>
      </c>
      <c r="C2349" t="s">
        <v>22</v>
      </c>
    </row>
    <row r="2350" spans="2:3" x14ac:dyDescent="0.45">
      <c r="B2350" s="13">
        <v>8006540429327</v>
      </c>
      <c r="C2350" t="s">
        <v>22</v>
      </c>
    </row>
    <row r="2351" spans="2:3" x14ac:dyDescent="0.45">
      <c r="B2351" s="13">
        <v>8700216163811</v>
      </c>
      <c r="C2351" t="s">
        <v>22</v>
      </c>
    </row>
    <row r="2352" spans="2:3" x14ac:dyDescent="0.45">
      <c r="B2352" s="13">
        <v>8700216236034</v>
      </c>
      <c r="C2352" t="s">
        <v>22</v>
      </c>
    </row>
    <row r="2353" spans="2:3" x14ac:dyDescent="0.45">
      <c r="B2353" s="13">
        <v>8700216236751</v>
      </c>
      <c r="C2353" t="s">
        <v>22</v>
      </c>
    </row>
    <row r="2354" spans="2:3" x14ac:dyDescent="0.45">
      <c r="B2354" s="13">
        <v>4084500088917</v>
      </c>
      <c r="C2354" t="s">
        <v>22</v>
      </c>
    </row>
    <row r="2355" spans="2:3" x14ac:dyDescent="0.45">
      <c r="B2355" s="13">
        <v>4084500853836</v>
      </c>
      <c r="C2355" t="s">
        <v>22</v>
      </c>
    </row>
    <row r="2356" spans="2:3" x14ac:dyDescent="0.45">
      <c r="B2356" s="13">
        <v>7290000286921</v>
      </c>
      <c r="C2356" t="s">
        <v>22</v>
      </c>
    </row>
    <row r="2357" spans="2:3" x14ac:dyDescent="0.45">
      <c r="B2357" s="13">
        <v>7290000288024</v>
      </c>
      <c r="C2357" t="s">
        <v>22</v>
      </c>
    </row>
    <row r="2358" spans="2:3" x14ac:dyDescent="0.45">
      <c r="B2358" s="13">
        <v>7290000288307</v>
      </c>
      <c r="C2358" t="s">
        <v>22</v>
      </c>
    </row>
    <row r="2359" spans="2:3" x14ac:dyDescent="0.45">
      <c r="B2359" s="13">
        <v>7290000288659</v>
      </c>
      <c r="C2359" t="s">
        <v>22</v>
      </c>
    </row>
    <row r="2360" spans="2:3" x14ac:dyDescent="0.45">
      <c r="B2360" s="13">
        <v>7290000292915</v>
      </c>
      <c r="C2360" t="s">
        <v>22</v>
      </c>
    </row>
    <row r="2361" spans="2:3" x14ac:dyDescent="0.45">
      <c r="B2361" s="13">
        <v>7290000294780</v>
      </c>
      <c r="C2361" t="s">
        <v>22</v>
      </c>
    </row>
    <row r="2362" spans="2:3" x14ac:dyDescent="0.45">
      <c r="B2362" s="13">
        <v>7290000295367</v>
      </c>
      <c r="C2362" t="s">
        <v>22</v>
      </c>
    </row>
    <row r="2363" spans="2:3" x14ac:dyDescent="0.45">
      <c r="B2363" s="13">
        <v>7290000295541</v>
      </c>
      <c r="C2363" t="s">
        <v>22</v>
      </c>
    </row>
    <row r="2364" spans="2:3" x14ac:dyDescent="0.45">
      <c r="B2364" s="13">
        <v>7290001246610</v>
      </c>
      <c r="C2364" t="s">
        <v>22</v>
      </c>
    </row>
    <row r="2365" spans="2:3" x14ac:dyDescent="0.45">
      <c r="B2365" s="13">
        <v>7290005424700</v>
      </c>
      <c r="C2365" t="s">
        <v>22</v>
      </c>
    </row>
    <row r="2366" spans="2:3" x14ac:dyDescent="0.45">
      <c r="B2366" s="13">
        <v>7290005425110</v>
      </c>
      <c r="C2366" t="s">
        <v>22</v>
      </c>
    </row>
    <row r="2367" spans="2:3" x14ac:dyDescent="0.45">
      <c r="B2367" s="13">
        <v>7290005425196</v>
      </c>
      <c r="C2367" t="s">
        <v>22</v>
      </c>
    </row>
    <row r="2368" spans="2:3" x14ac:dyDescent="0.45">
      <c r="B2368" s="13">
        <v>7290012116025</v>
      </c>
      <c r="C2368" t="s">
        <v>22</v>
      </c>
    </row>
    <row r="2369" spans="2:3" x14ac:dyDescent="0.45">
      <c r="B2369" s="13">
        <v>7290012117534</v>
      </c>
      <c r="C2369" t="s">
        <v>22</v>
      </c>
    </row>
    <row r="2370" spans="2:3" x14ac:dyDescent="0.45">
      <c r="B2370" s="13">
        <v>7290013268204</v>
      </c>
      <c r="C2370" t="s">
        <v>22</v>
      </c>
    </row>
    <row r="2371" spans="2:3" x14ac:dyDescent="0.45">
      <c r="B2371" s="13">
        <v>7290013268891</v>
      </c>
      <c r="C2371" t="s">
        <v>22</v>
      </c>
    </row>
    <row r="2372" spans="2:3" x14ac:dyDescent="0.45">
      <c r="B2372" s="13">
        <v>7290013269003</v>
      </c>
      <c r="C2372" t="s">
        <v>22</v>
      </c>
    </row>
    <row r="2373" spans="2:3" x14ac:dyDescent="0.45">
      <c r="B2373" s="13">
        <v>7290014397453</v>
      </c>
      <c r="C2373" t="s">
        <v>22</v>
      </c>
    </row>
    <row r="2374" spans="2:3" x14ac:dyDescent="0.45">
      <c r="B2374" s="13">
        <v>7290019274483</v>
      </c>
      <c r="C2374" t="s">
        <v>22</v>
      </c>
    </row>
    <row r="2375" spans="2:3" x14ac:dyDescent="0.45">
      <c r="B2375" s="13">
        <v>7290019274490</v>
      </c>
      <c r="C2375" t="s">
        <v>22</v>
      </c>
    </row>
    <row r="2376" spans="2:3" x14ac:dyDescent="0.45">
      <c r="B2376" s="13">
        <v>7290019611325</v>
      </c>
      <c r="C2376" t="s">
        <v>22</v>
      </c>
    </row>
    <row r="2377" spans="2:3" x14ac:dyDescent="0.45">
      <c r="B2377" s="13">
        <v>7290103702489</v>
      </c>
      <c r="C2377" t="s">
        <v>22</v>
      </c>
    </row>
    <row r="2378" spans="2:3" x14ac:dyDescent="0.45">
      <c r="B2378" s="13">
        <v>7290103703370</v>
      </c>
      <c r="C2378" t="s">
        <v>22</v>
      </c>
    </row>
    <row r="2379" spans="2:3" x14ac:dyDescent="0.45">
      <c r="B2379" s="13">
        <v>7290103704155</v>
      </c>
      <c r="C2379" t="s">
        <v>22</v>
      </c>
    </row>
    <row r="2380" spans="2:3" x14ac:dyDescent="0.45">
      <c r="B2380" s="13">
        <v>7290103704179</v>
      </c>
      <c r="C2380" t="s">
        <v>22</v>
      </c>
    </row>
    <row r="2381" spans="2:3" x14ac:dyDescent="0.45">
      <c r="B2381" s="13">
        <v>7290103704919</v>
      </c>
      <c r="C2381" t="s">
        <v>22</v>
      </c>
    </row>
    <row r="2382" spans="2:3" x14ac:dyDescent="0.45">
      <c r="B2382" s="13">
        <v>7290107280099</v>
      </c>
      <c r="C2382" t="s">
        <v>22</v>
      </c>
    </row>
    <row r="2383" spans="2:3" x14ac:dyDescent="0.45">
      <c r="B2383" s="13">
        <v>7290108351699</v>
      </c>
      <c r="C2383" t="s">
        <v>22</v>
      </c>
    </row>
    <row r="2384" spans="2:3" x14ac:dyDescent="0.45">
      <c r="B2384" s="13">
        <v>7290108352702</v>
      </c>
      <c r="C2384" t="s">
        <v>22</v>
      </c>
    </row>
    <row r="2385" spans="2:3" x14ac:dyDescent="0.45">
      <c r="B2385" s="13">
        <v>7290108356298</v>
      </c>
      <c r="C2385" t="s">
        <v>22</v>
      </c>
    </row>
    <row r="2386" spans="2:3" x14ac:dyDescent="0.45">
      <c r="B2386" s="13">
        <v>7290108356700</v>
      </c>
      <c r="C2386" t="s">
        <v>22</v>
      </c>
    </row>
    <row r="2387" spans="2:3" x14ac:dyDescent="0.45">
      <c r="B2387" s="13">
        <v>7290108356717</v>
      </c>
      <c r="C2387" t="s">
        <v>22</v>
      </c>
    </row>
    <row r="2388" spans="2:3" x14ac:dyDescent="0.45">
      <c r="B2388" s="13">
        <v>7290108356724</v>
      </c>
      <c r="C2388" t="s">
        <v>22</v>
      </c>
    </row>
    <row r="2389" spans="2:3" x14ac:dyDescent="0.45">
      <c r="B2389" s="13">
        <v>7290108357240</v>
      </c>
      <c r="C2389" t="s">
        <v>22</v>
      </c>
    </row>
    <row r="2390" spans="2:3" x14ac:dyDescent="0.45">
      <c r="B2390" s="13">
        <v>7290108357288</v>
      </c>
      <c r="C2390" t="s">
        <v>22</v>
      </c>
    </row>
    <row r="2391" spans="2:3" x14ac:dyDescent="0.45">
      <c r="B2391" s="13">
        <v>7290108357844</v>
      </c>
      <c r="C2391" t="s">
        <v>22</v>
      </c>
    </row>
    <row r="2392" spans="2:3" x14ac:dyDescent="0.45">
      <c r="B2392" s="13">
        <v>7290108359077</v>
      </c>
      <c r="C2392" t="s">
        <v>22</v>
      </c>
    </row>
    <row r="2393" spans="2:3" x14ac:dyDescent="0.45">
      <c r="B2393" s="13">
        <v>7290108359176</v>
      </c>
      <c r="C2393" t="s">
        <v>22</v>
      </c>
    </row>
    <row r="2394" spans="2:3" x14ac:dyDescent="0.45">
      <c r="B2394" s="13">
        <v>7290108359190</v>
      </c>
      <c r="C2394" t="s">
        <v>22</v>
      </c>
    </row>
    <row r="2395" spans="2:3" x14ac:dyDescent="0.45">
      <c r="B2395" s="13">
        <v>8001090184375</v>
      </c>
      <c r="C2395" t="s">
        <v>22</v>
      </c>
    </row>
    <row r="2396" spans="2:3" x14ac:dyDescent="0.45">
      <c r="B2396" s="13">
        <v>8001090184412</v>
      </c>
      <c r="C2396" t="s">
        <v>22</v>
      </c>
    </row>
    <row r="2397" spans="2:3" x14ac:dyDescent="0.45">
      <c r="B2397" s="13">
        <v>8001841625362</v>
      </c>
      <c r="C2397" t="s">
        <v>22</v>
      </c>
    </row>
    <row r="2398" spans="2:3" x14ac:dyDescent="0.45">
      <c r="B2398" s="13">
        <v>8001841893990</v>
      </c>
      <c r="C2398" t="s">
        <v>22</v>
      </c>
    </row>
    <row r="2399" spans="2:3" x14ac:dyDescent="0.45">
      <c r="B2399" s="13">
        <v>8006540429327</v>
      </c>
      <c r="C2399" t="s">
        <v>22</v>
      </c>
    </row>
    <row r="2400" spans="2:3" x14ac:dyDescent="0.45">
      <c r="B2400" s="13">
        <v>8700216163811</v>
      </c>
      <c r="C2400" t="s">
        <v>22</v>
      </c>
    </row>
    <row r="2401" spans="2:3" x14ac:dyDescent="0.45">
      <c r="B2401" s="13">
        <v>8700216236034</v>
      </c>
      <c r="C2401" t="s">
        <v>22</v>
      </c>
    </row>
    <row r="2402" spans="2:3" x14ac:dyDescent="0.45">
      <c r="B2402" s="13">
        <v>8700216236751</v>
      </c>
      <c r="C2402" t="s">
        <v>22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EE7-F61B-4E14-B756-3A13D3FE0E63}">
  <sheetPr codeName="Sheet2"/>
  <dimension ref="A1:F53"/>
  <sheetViews>
    <sheetView zoomScale="85" zoomScaleNormal="85" workbookViewId="0">
      <selection activeCell="A7" sqref="A7"/>
    </sheetView>
  </sheetViews>
  <sheetFormatPr defaultColWidth="8.86328125" defaultRowHeight="14.25" x14ac:dyDescent="0.45"/>
  <cols>
    <col min="1" max="1" width="14.3984375" style="1" bestFit="1" customWidth="1"/>
    <col min="2" max="2" width="51.265625" style="1" bestFit="1" customWidth="1"/>
    <col min="3" max="3" width="10.6640625" style="1" customWidth="1"/>
    <col min="4" max="4" width="10.1328125" style="1" customWidth="1"/>
    <col min="5" max="5" width="10.796875" style="1" customWidth="1"/>
    <col min="6" max="6" width="20" style="1" customWidth="1"/>
    <col min="7" max="16384" width="8.86328125" style="1"/>
  </cols>
  <sheetData>
    <row r="1" spans="1:6" x14ac:dyDescent="0.45">
      <c r="A1" s="1" t="s">
        <v>0</v>
      </c>
      <c r="B1" s="1" t="s">
        <v>1</v>
      </c>
      <c r="C1" s="1" t="s">
        <v>15</v>
      </c>
      <c r="D1" s="1" t="s">
        <v>16</v>
      </c>
      <c r="E1" s="1" t="s">
        <v>3</v>
      </c>
      <c r="F1" s="1" t="s">
        <v>2</v>
      </c>
    </row>
    <row r="2" spans="1:6" x14ac:dyDescent="0.45">
      <c r="A2" s="11">
        <v>7290108357288</v>
      </c>
      <c r="B2" s="12" t="s">
        <v>42</v>
      </c>
      <c r="D2" s="19">
        <v>16.899999999999999</v>
      </c>
      <c r="E2" t="s">
        <v>17</v>
      </c>
      <c r="F2" s="1">
        <v>50</v>
      </c>
    </row>
    <row r="3" spans="1:6" x14ac:dyDescent="0.45">
      <c r="A3" s="11">
        <v>7290000294780</v>
      </c>
      <c r="B3" s="12" t="s">
        <v>43</v>
      </c>
      <c r="D3" s="19">
        <v>16.899999999999999</v>
      </c>
      <c r="E3" t="s">
        <v>17</v>
      </c>
      <c r="F3" s="1">
        <v>50</v>
      </c>
    </row>
    <row r="4" spans="1:6" x14ac:dyDescent="0.45">
      <c r="A4" s="11">
        <v>7290000288024</v>
      </c>
      <c r="B4" s="12" t="s">
        <v>44</v>
      </c>
      <c r="D4" s="19">
        <v>16.899999999999999</v>
      </c>
      <c r="E4" t="s">
        <v>17</v>
      </c>
      <c r="F4" s="1">
        <v>50</v>
      </c>
    </row>
    <row r="5" spans="1:6" x14ac:dyDescent="0.45">
      <c r="A5" s="13">
        <v>8001841893990</v>
      </c>
      <c r="B5" s="16" t="s">
        <v>45</v>
      </c>
      <c r="D5" s="20">
        <v>39.9</v>
      </c>
      <c r="E5" t="s">
        <v>19</v>
      </c>
      <c r="F5" s="1">
        <v>50</v>
      </c>
    </row>
    <row r="6" spans="1:6" x14ac:dyDescent="0.45">
      <c r="A6" s="13">
        <v>8700216236034</v>
      </c>
      <c r="B6" s="16" t="s">
        <v>46</v>
      </c>
      <c r="D6" s="20">
        <v>49.9</v>
      </c>
      <c r="E6" t="s">
        <v>19</v>
      </c>
      <c r="F6" s="1">
        <v>50</v>
      </c>
    </row>
    <row r="7" spans="1:6" x14ac:dyDescent="0.45">
      <c r="A7" s="13">
        <v>8001090184375</v>
      </c>
      <c r="B7" s="16" t="s">
        <v>47</v>
      </c>
      <c r="D7" s="20">
        <v>25.9</v>
      </c>
      <c r="E7" t="s">
        <v>19</v>
      </c>
      <c r="F7" s="1">
        <v>50</v>
      </c>
    </row>
    <row r="8" spans="1:6" x14ac:dyDescent="0.45">
      <c r="A8" s="13">
        <v>4084500853836</v>
      </c>
      <c r="B8" s="16" t="s">
        <v>48</v>
      </c>
      <c r="D8" s="20">
        <v>12.9</v>
      </c>
      <c r="E8" t="s">
        <v>19</v>
      </c>
      <c r="F8" s="1">
        <v>50</v>
      </c>
    </row>
    <row r="9" spans="1:6" x14ac:dyDescent="0.45">
      <c r="A9" s="13">
        <v>8700216163811</v>
      </c>
      <c r="B9" s="16" t="s">
        <v>49</v>
      </c>
      <c r="D9" s="20">
        <v>18.899999999999999</v>
      </c>
      <c r="E9" t="s">
        <v>19</v>
      </c>
      <c r="F9" s="1">
        <v>50</v>
      </c>
    </row>
    <row r="10" spans="1:6" x14ac:dyDescent="0.45">
      <c r="A10" s="13">
        <v>4084500088917</v>
      </c>
      <c r="B10" s="16" t="s">
        <v>50</v>
      </c>
      <c r="D10" s="20">
        <v>12.9</v>
      </c>
      <c r="E10" t="s">
        <v>19</v>
      </c>
      <c r="F10" s="1">
        <v>50</v>
      </c>
    </row>
    <row r="11" spans="1:6" x14ac:dyDescent="0.45">
      <c r="A11" s="13">
        <v>8001090184412</v>
      </c>
      <c r="B11" s="16" t="s">
        <v>51</v>
      </c>
      <c r="D11" s="20">
        <v>13.9</v>
      </c>
      <c r="E11" t="s">
        <v>19</v>
      </c>
      <c r="F11" s="1">
        <v>50</v>
      </c>
    </row>
    <row r="12" spans="1:6" x14ac:dyDescent="0.45">
      <c r="A12" s="13">
        <v>8006540429327</v>
      </c>
      <c r="B12" s="16" t="s">
        <v>52</v>
      </c>
      <c r="D12" s="20">
        <v>11.9</v>
      </c>
      <c r="E12" t="s">
        <v>19</v>
      </c>
      <c r="F12" s="1">
        <v>50</v>
      </c>
    </row>
    <row r="13" spans="1:6" x14ac:dyDescent="0.45">
      <c r="A13" s="11">
        <v>7290108357844</v>
      </c>
      <c r="B13" s="17" t="s">
        <v>53</v>
      </c>
      <c r="D13" s="21">
        <v>8.9</v>
      </c>
      <c r="E13" t="s">
        <v>19</v>
      </c>
      <c r="F13" s="1">
        <v>50</v>
      </c>
    </row>
    <row r="14" spans="1:6" x14ac:dyDescent="0.45">
      <c r="A14" s="11" t="s">
        <v>39</v>
      </c>
      <c r="B14" s="17" t="s">
        <v>54</v>
      </c>
      <c r="D14" s="21">
        <v>11.9</v>
      </c>
      <c r="E14" t="s">
        <v>19</v>
      </c>
      <c r="F14" s="1">
        <v>50</v>
      </c>
    </row>
    <row r="15" spans="1:6" x14ac:dyDescent="0.45">
      <c r="A15" s="11">
        <v>7290012116025</v>
      </c>
      <c r="B15" s="17" t="s">
        <v>55</v>
      </c>
      <c r="D15" s="21">
        <v>11.9</v>
      </c>
      <c r="E15" t="s">
        <v>19</v>
      </c>
      <c r="F15" s="1">
        <v>50</v>
      </c>
    </row>
    <row r="16" spans="1:6" x14ac:dyDescent="0.45">
      <c r="A16" s="10">
        <v>7290108356724</v>
      </c>
      <c r="B16" s="17" t="s">
        <v>56</v>
      </c>
      <c r="D16" s="21">
        <v>12.9</v>
      </c>
      <c r="E16" t="s">
        <v>19</v>
      </c>
      <c r="F16" s="1">
        <v>50</v>
      </c>
    </row>
    <row r="17" spans="1:6" x14ac:dyDescent="0.45">
      <c r="A17" s="11">
        <v>7290108356717</v>
      </c>
      <c r="B17" s="17" t="s">
        <v>57</v>
      </c>
      <c r="D17" s="21">
        <v>12.9</v>
      </c>
      <c r="E17" t="s">
        <v>19</v>
      </c>
      <c r="F17" s="1">
        <v>50</v>
      </c>
    </row>
    <row r="18" spans="1:6" x14ac:dyDescent="0.45">
      <c r="A18" s="11">
        <v>7290108356298</v>
      </c>
      <c r="B18" s="17" t="s">
        <v>58</v>
      </c>
      <c r="D18" s="21">
        <v>12.9</v>
      </c>
      <c r="E18" t="s">
        <v>19</v>
      </c>
      <c r="F18" s="1">
        <v>50</v>
      </c>
    </row>
    <row r="19" spans="1:6" x14ac:dyDescent="0.45">
      <c r="A19" s="13">
        <v>8001841625362</v>
      </c>
      <c r="B19" s="16" t="s">
        <v>59</v>
      </c>
      <c r="D19" s="20">
        <v>14.9</v>
      </c>
      <c r="E19" t="s">
        <v>19</v>
      </c>
      <c r="F19" s="1">
        <v>50</v>
      </c>
    </row>
    <row r="20" spans="1:6" x14ac:dyDescent="0.45">
      <c r="A20" s="13">
        <v>8700216236751</v>
      </c>
      <c r="B20" s="16" t="s">
        <v>60</v>
      </c>
      <c r="D20" s="20">
        <v>79.900000000000006</v>
      </c>
      <c r="E20" t="s">
        <v>19</v>
      </c>
      <c r="F20" s="1">
        <v>50</v>
      </c>
    </row>
    <row r="21" spans="1:6" x14ac:dyDescent="0.45">
      <c r="A21" s="14" t="s">
        <v>40</v>
      </c>
      <c r="B21" s="18" t="s">
        <v>61</v>
      </c>
      <c r="D21" s="22">
        <v>35.9</v>
      </c>
      <c r="E21" t="s">
        <v>18</v>
      </c>
      <c r="F21" s="1">
        <v>50</v>
      </c>
    </row>
    <row r="22" spans="1:6" x14ac:dyDescent="0.45">
      <c r="A22" s="14">
        <v>7290103702489</v>
      </c>
      <c r="B22" s="18" t="s">
        <v>62</v>
      </c>
      <c r="D22" s="22">
        <v>16.899999999999999</v>
      </c>
      <c r="E22" t="s">
        <v>18</v>
      </c>
      <c r="F22" s="1">
        <v>50</v>
      </c>
    </row>
    <row r="23" spans="1:6" x14ac:dyDescent="0.45">
      <c r="A23" s="14">
        <v>7290103703370</v>
      </c>
      <c r="B23" s="18" t="s">
        <v>63</v>
      </c>
      <c r="D23" s="22">
        <v>16.899999999999999</v>
      </c>
      <c r="E23" t="s">
        <v>18</v>
      </c>
      <c r="F23" s="1">
        <v>50</v>
      </c>
    </row>
    <row r="24" spans="1:6" x14ac:dyDescent="0.45">
      <c r="A24" s="14">
        <v>7290103704919</v>
      </c>
      <c r="B24" s="18" t="s">
        <v>64</v>
      </c>
      <c r="D24" s="22">
        <v>16.899999999999999</v>
      </c>
      <c r="E24" t="s">
        <v>18</v>
      </c>
      <c r="F24" s="1">
        <v>50</v>
      </c>
    </row>
    <row r="25" spans="1:6" x14ac:dyDescent="0.45">
      <c r="A25" s="14">
        <v>7290103704155</v>
      </c>
      <c r="B25" s="18" t="s">
        <v>65</v>
      </c>
      <c r="D25" s="22">
        <v>12.9</v>
      </c>
      <c r="E25" t="s">
        <v>18</v>
      </c>
      <c r="F25" s="1">
        <v>50</v>
      </c>
    </row>
    <row r="26" spans="1:6" x14ac:dyDescent="0.45">
      <c r="A26" s="14">
        <v>7290103704179</v>
      </c>
      <c r="B26" s="18" t="s">
        <v>66</v>
      </c>
      <c r="D26" s="22">
        <v>16.899999999999999</v>
      </c>
      <c r="E26" t="s">
        <v>18</v>
      </c>
      <c r="F26" s="1">
        <v>50</v>
      </c>
    </row>
    <row r="27" spans="1:6" x14ac:dyDescent="0.45">
      <c r="A27" s="14">
        <v>7290019611325</v>
      </c>
      <c r="B27" s="18" t="s">
        <v>67</v>
      </c>
      <c r="D27" s="22">
        <v>17.899999999999999</v>
      </c>
      <c r="E27" t="s">
        <v>18</v>
      </c>
      <c r="F27" s="1">
        <v>50</v>
      </c>
    </row>
    <row r="28" spans="1:6" x14ac:dyDescent="0.45">
      <c r="A28" s="14">
        <v>7290019274483</v>
      </c>
      <c r="B28" s="18" t="s">
        <v>68</v>
      </c>
      <c r="D28" s="22">
        <v>10.9</v>
      </c>
      <c r="E28" t="s">
        <v>18</v>
      </c>
      <c r="F28" s="1">
        <v>50</v>
      </c>
    </row>
    <row r="29" spans="1:6" x14ac:dyDescent="0.45">
      <c r="A29" s="14">
        <v>7290019274490</v>
      </c>
      <c r="B29" s="18" t="s">
        <v>69</v>
      </c>
      <c r="D29" s="22">
        <v>10.9</v>
      </c>
      <c r="E29" t="s">
        <v>18</v>
      </c>
      <c r="F29" s="1">
        <v>50</v>
      </c>
    </row>
    <row r="30" spans="1:6" x14ac:dyDescent="0.45">
      <c r="A30" s="14">
        <v>7290001246610</v>
      </c>
      <c r="B30" s="18" t="s">
        <v>70</v>
      </c>
      <c r="D30" s="22">
        <v>15.9</v>
      </c>
      <c r="E30" t="s">
        <v>18</v>
      </c>
      <c r="F30" s="1">
        <v>50</v>
      </c>
    </row>
    <row r="31" spans="1:6" x14ac:dyDescent="0.45">
      <c r="A31" s="11">
        <v>7290005425196</v>
      </c>
      <c r="B31" s="12" t="s">
        <v>71</v>
      </c>
      <c r="D31" s="23">
        <v>24.9</v>
      </c>
      <c r="E31" t="s">
        <v>17</v>
      </c>
      <c r="F31" s="1">
        <v>50</v>
      </c>
    </row>
    <row r="32" spans="1:6" x14ac:dyDescent="0.45">
      <c r="A32" s="11">
        <v>7290000295367</v>
      </c>
      <c r="B32" s="12" t="s">
        <v>72</v>
      </c>
      <c r="D32" s="23">
        <v>24.9</v>
      </c>
      <c r="E32" t="s">
        <v>17</v>
      </c>
      <c r="F32" s="1">
        <v>50</v>
      </c>
    </row>
    <row r="33" spans="1:6" x14ac:dyDescent="0.45">
      <c r="A33" s="11">
        <v>7290013269003</v>
      </c>
      <c r="B33" s="12" t="s">
        <v>73</v>
      </c>
      <c r="D33" s="19">
        <v>16.899999999999999</v>
      </c>
      <c r="E33" t="s">
        <v>17</v>
      </c>
      <c r="F33" s="1">
        <v>50</v>
      </c>
    </row>
    <row r="34" spans="1:6" x14ac:dyDescent="0.45">
      <c r="A34" s="11">
        <v>7290012117534</v>
      </c>
      <c r="B34" s="12" t="s">
        <v>74</v>
      </c>
      <c r="D34" s="19">
        <v>16.899999999999999</v>
      </c>
      <c r="E34" t="s">
        <v>17</v>
      </c>
      <c r="F34" s="1">
        <v>50</v>
      </c>
    </row>
    <row r="35" spans="1:6" x14ac:dyDescent="0.45">
      <c r="A35" s="11">
        <v>7290005424700</v>
      </c>
      <c r="B35" s="12" t="s">
        <v>75</v>
      </c>
      <c r="D35" s="19">
        <v>17.899999999999999</v>
      </c>
      <c r="E35" t="s">
        <v>17</v>
      </c>
      <c r="F35" s="1">
        <v>50</v>
      </c>
    </row>
    <row r="36" spans="1:6" x14ac:dyDescent="0.45">
      <c r="A36" s="11">
        <v>7290000292915</v>
      </c>
      <c r="B36" s="12" t="s">
        <v>76</v>
      </c>
      <c r="D36" s="19">
        <v>14.9</v>
      </c>
      <c r="E36" t="s">
        <v>17</v>
      </c>
      <c r="F36" s="1">
        <v>50</v>
      </c>
    </row>
    <row r="37" spans="1:6" x14ac:dyDescent="0.45">
      <c r="A37" s="11">
        <v>7290005425110</v>
      </c>
      <c r="B37" s="12" t="s">
        <v>77</v>
      </c>
      <c r="D37" s="19">
        <v>14.9</v>
      </c>
      <c r="E37" t="s">
        <v>17</v>
      </c>
      <c r="F37" s="1">
        <v>50</v>
      </c>
    </row>
    <row r="38" spans="1:6" x14ac:dyDescent="0.45">
      <c r="A38" s="11">
        <v>7290108351699</v>
      </c>
      <c r="B38" s="12" t="s">
        <v>78</v>
      </c>
      <c r="D38" s="19">
        <v>19.899999999999999</v>
      </c>
      <c r="E38" t="s">
        <v>17</v>
      </c>
      <c r="F38" s="1">
        <v>50</v>
      </c>
    </row>
    <row r="39" spans="1:6" x14ac:dyDescent="0.45">
      <c r="A39" s="11">
        <v>7290108357240</v>
      </c>
      <c r="B39" s="12" t="s">
        <v>79</v>
      </c>
      <c r="D39" s="19">
        <v>29.9</v>
      </c>
      <c r="E39" t="s">
        <v>17</v>
      </c>
      <c r="F39" s="1">
        <v>50</v>
      </c>
    </row>
    <row r="40" spans="1:6" x14ac:dyDescent="0.45">
      <c r="A40" s="11">
        <v>7290014397453</v>
      </c>
      <c r="B40" s="12" t="s">
        <v>80</v>
      </c>
      <c r="D40" s="19">
        <v>31.9</v>
      </c>
      <c r="E40" t="s">
        <v>17</v>
      </c>
      <c r="F40" s="1">
        <v>50</v>
      </c>
    </row>
    <row r="41" spans="1:6" x14ac:dyDescent="0.45">
      <c r="A41" s="11">
        <v>7290013268891</v>
      </c>
      <c r="B41" s="12" t="s">
        <v>81</v>
      </c>
      <c r="D41" s="19">
        <v>31.9</v>
      </c>
      <c r="E41" t="s">
        <v>17</v>
      </c>
      <c r="F41" s="1">
        <v>50</v>
      </c>
    </row>
    <row r="42" spans="1:6" x14ac:dyDescent="0.45">
      <c r="A42" s="11">
        <v>7290000286921</v>
      </c>
      <c r="B42" s="12" t="s">
        <v>82</v>
      </c>
      <c r="D42" s="19">
        <v>14.9</v>
      </c>
      <c r="E42" t="s">
        <v>17</v>
      </c>
      <c r="F42" s="1">
        <v>50</v>
      </c>
    </row>
    <row r="43" spans="1:6" x14ac:dyDescent="0.45">
      <c r="A43" s="11">
        <v>7290108352702</v>
      </c>
      <c r="B43" s="12" t="s">
        <v>83</v>
      </c>
      <c r="D43" s="19">
        <v>14.9</v>
      </c>
      <c r="E43" t="s">
        <v>17</v>
      </c>
      <c r="F43" s="1">
        <v>50</v>
      </c>
    </row>
    <row r="44" spans="1:6" x14ac:dyDescent="0.45">
      <c r="A44" s="11">
        <v>7290107280099</v>
      </c>
      <c r="B44" s="12" t="s">
        <v>84</v>
      </c>
      <c r="D44" s="19">
        <v>14.9</v>
      </c>
      <c r="E44" t="s">
        <v>17</v>
      </c>
      <c r="F44" s="1">
        <v>50</v>
      </c>
    </row>
    <row r="45" spans="1:6" x14ac:dyDescent="0.45">
      <c r="A45" s="11">
        <v>7290013268204</v>
      </c>
      <c r="B45" s="12" t="s">
        <v>85</v>
      </c>
      <c r="D45" s="19">
        <v>8.9</v>
      </c>
      <c r="E45" t="s">
        <v>17</v>
      </c>
      <c r="F45" s="1">
        <v>50</v>
      </c>
    </row>
    <row r="46" spans="1:6" x14ac:dyDescent="0.45">
      <c r="A46" s="15">
        <v>7290108359190</v>
      </c>
      <c r="B46" s="12" t="s">
        <v>86</v>
      </c>
      <c r="D46" s="19">
        <v>24.9</v>
      </c>
      <c r="E46" t="s">
        <v>17</v>
      </c>
      <c r="F46" s="1">
        <v>50</v>
      </c>
    </row>
    <row r="47" spans="1:6" x14ac:dyDescent="0.45">
      <c r="A47" s="11">
        <v>7290000295541</v>
      </c>
      <c r="B47" s="12" t="s">
        <v>87</v>
      </c>
      <c r="D47" s="19">
        <v>19.899999999999999</v>
      </c>
      <c r="E47" t="s">
        <v>17</v>
      </c>
      <c r="F47" s="1">
        <v>50</v>
      </c>
    </row>
    <row r="48" spans="1:6" x14ac:dyDescent="0.45">
      <c r="A48" s="11" t="s">
        <v>41</v>
      </c>
      <c r="B48" s="12" t="s">
        <v>88</v>
      </c>
      <c r="D48" s="19">
        <v>24.9</v>
      </c>
      <c r="E48" t="s">
        <v>17</v>
      </c>
      <c r="F48" s="1">
        <v>50</v>
      </c>
    </row>
    <row r="49" spans="1:6" x14ac:dyDescent="0.45">
      <c r="A49" s="15">
        <v>7290108359077</v>
      </c>
      <c r="B49" s="12" t="s">
        <v>89</v>
      </c>
      <c r="D49" s="19">
        <v>12.9</v>
      </c>
      <c r="E49" t="s">
        <v>17</v>
      </c>
      <c r="F49" s="1">
        <v>50</v>
      </c>
    </row>
    <row r="50" spans="1:6" x14ac:dyDescent="0.45">
      <c r="A50" s="11">
        <v>7290108359176</v>
      </c>
      <c r="B50" s="12" t="s">
        <v>90</v>
      </c>
      <c r="D50" s="19">
        <v>14.9</v>
      </c>
      <c r="E50" t="s">
        <v>17</v>
      </c>
      <c r="F50" s="1">
        <v>50</v>
      </c>
    </row>
    <row r="51" spans="1:6" x14ac:dyDescent="0.45">
      <c r="A51" s="15">
        <v>7290108356700</v>
      </c>
      <c r="B51" s="12" t="s">
        <v>91</v>
      </c>
      <c r="D51" s="19">
        <v>19.899999999999999</v>
      </c>
      <c r="E51" t="s">
        <v>17</v>
      </c>
      <c r="F51" s="1">
        <v>50</v>
      </c>
    </row>
    <row r="52" spans="1:6" x14ac:dyDescent="0.45">
      <c r="A52" s="11">
        <v>7290000288659</v>
      </c>
      <c r="B52" s="12" t="s">
        <v>92</v>
      </c>
      <c r="D52" s="19">
        <v>19.899999999999999</v>
      </c>
      <c r="E52" t="s">
        <v>17</v>
      </c>
      <c r="F52" s="1">
        <v>50</v>
      </c>
    </row>
    <row r="53" spans="1:6" x14ac:dyDescent="0.45">
      <c r="A53" s="11">
        <v>7290000288307</v>
      </c>
      <c r="B53" s="12" t="s">
        <v>93</v>
      </c>
      <c r="D53" s="19">
        <v>29.9</v>
      </c>
      <c r="E53" t="s">
        <v>17</v>
      </c>
      <c r="F53" s="1">
        <v>50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ED7F-FAFB-49AE-891D-1D6A3F73469B}">
  <sheetPr codeName="Sheet5"/>
  <dimension ref="A1:D4"/>
  <sheetViews>
    <sheetView zoomScale="160" zoomScaleNormal="160" workbookViewId="0">
      <selection activeCell="D8" sqref="D8"/>
    </sheetView>
  </sheetViews>
  <sheetFormatPr defaultRowHeight="14.25" x14ac:dyDescent="0.45"/>
  <cols>
    <col min="1" max="1" width="10.796875" customWidth="1"/>
    <col min="2" max="2" width="14.1328125" customWidth="1"/>
    <col min="3" max="3" width="10.1328125" customWidth="1"/>
    <col min="4" max="4" width="12.33203125" bestFit="1" customWidth="1"/>
  </cols>
  <sheetData>
    <row r="1" spans="1:4" x14ac:dyDescent="0.45">
      <c r="A1" t="s">
        <v>3</v>
      </c>
      <c r="B1" t="s">
        <v>4</v>
      </c>
      <c r="C1" t="s">
        <v>20</v>
      </c>
      <c r="D1" t="s">
        <v>23</v>
      </c>
    </row>
    <row r="2" spans="1:4" x14ac:dyDescent="0.45">
      <c r="A2" t="s">
        <v>17</v>
      </c>
      <c r="B2" t="s">
        <v>37</v>
      </c>
      <c r="C2">
        <v>3</v>
      </c>
      <c r="D2">
        <v>55</v>
      </c>
    </row>
    <row r="3" spans="1:4" x14ac:dyDescent="0.45">
      <c r="A3" t="s">
        <v>18</v>
      </c>
      <c r="B3" t="s">
        <v>38</v>
      </c>
      <c r="C3">
        <v>3</v>
      </c>
      <c r="D3">
        <v>55</v>
      </c>
    </row>
    <row r="4" spans="1:4" x14ac:dyDescent="0.45">
      <c r="A4" t="s">
        <v>19</v>
      </c>
      <c r="B4" t="s">
        <v>97</v>
      </c>
      <c r="C4">
        <v>3</v>
      </c>
      <c r="D4">
        <v>55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E8369-3A4D-4ADE-A859-0D1FE70D4560}">
  <sheetPr codeName="Sheet6"/>
  <dimension ref="A1:D2"/>
  <sheetViews>
    <sheetView zoomScale="160" zoomScaleNormal="160" workbookViewId="0"/>
  </sheetViews>
  <sheetFormatPr defaultRowHeight="14.25" x14ac:dyDescent="0.45"/>
  <cols>
    <col min="1" max="1" width="12" customWidth="1"/>
    <col min="2" max="2" width="15.33203125" customWidth="1"/>
    <col min="3" max="3" width="11.19921875" bestFit="1" customWidth="1"/>
    <col min="4" max="4" width="20.1328125" bestFit="1" customWidth="1"/>
  </cols>
  <sheetData>
    <row r="1" spans="1:4" x14ac:dyDescent="0.45">
      <c r="A1" t="s">
        <v>7</v>
      </c>
      <c r="B1" t="s">
        <v>8</v>
      </c>
      <c r="C1" t="s">
        <v>5</v>
      </c>
      <c r="D1" t="s">
        <v>6</v>
      </c>
    </row>
    <row r="2" spans="1:4" x14ac:dyDescent="0.45">
      <c r="A2" t="s">
        <v>22</v>
      </c>
      <c r="B2" t="s">
        <v>94</v>
      </c>
      <c r="C2" t="s">
        <v>21</v>
      </c>
      <c r="D2" s="24" t="s">
        <v>95</v>
      </c>
    </row>
  </sheetData>
  <hyperlinks>
    <hyperlink ref="D2" r:id="rId1" xr:uid="{618EA516-4086-4059-818D-D4F303711D2A}"/>
  </hyperlinks>
  <pageMargins left="0.7" right="0.7" top="0.75" bottom="0.75" header="0.3" footer="0.3"/>
  <ignoredErrors>
    <ignoredError sqref="C2" numberStoredAsText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9E629-056F-4883-8EB3-CE28AC156471}">
  <dimension ref="A1:C2059"/>
  <sheetViews>
    <sheetView workbookViewId="0">
      <selection activeCell="I301" sqref="I301"/>
    </sheetView>
  </sheetViews>
  <sheetFormatPr defaultRowHeight="14.25" x14ac:dyDescent="0.45"/>
  <cols>
    <col min="1" max="1" width="13.796875" style="28" bestFit="1" customWidth="1"/>
    <col min="2" max="2" width="21.59765625" style="29" bestFit="1" customWidth="1"/>
    <col min="3" max="3" width="15.46484375" bestFit="1" customWidth="1"/>
  </cols>
  <sheetData>
    <row r="1" spans="1:3" x14ac:dyDescent="0.45">
      <c r="A1" s="28" t="s">
        <v>98</v>
      </c>
      <c r="B1" s="29" t="s">
        <v>99</v>
      </c>
      <c r="C1" t="s">
        <v>100</v>
      </c>
    </row>
    <row r="2" spans="1:3" x14ac:dyDescent="0.45">
      <c r="A2" s="28">
        <v>4084500088917</v>
      </c>
      <c r="B2" s="29">
        <v>45809</v>
      </c>
      <c r="C2">
        <v>4.2005430397281902</v>
      </c>
    </row>
    <row r="3" spans="1:3" x14ac:dyDescent="0.45">
      <c r="A3" s="28">
        <v>4084500853836</v>
      </c>
      <c r="B3" s="29">
        <v>45809</v>
      </c>
      <c r="C3">
        <v>4.19110906717916</v>
      </c>
    </row>
    <row r="4" spans="1:3" x14ac:dyDescent="0.45">
      <c r="A4" s="28">
        <v>7290000286921</v>
      </c>
      <c r="B4" s="29">
        <v>45809</v>
      </c>
      <c r="C4">
        <v>1.32245141760748</v>
      </c>
    </row>
    <row r="5" spans="1:3" x14ac:dyDescent="0.45">
      <c r="A5" s="28">
        <v>7290000288024</v>
      </c>
      <c r="B5" s="29">
        <v>45809</v>
      </c>
      <c r="C5">
        <v>4.2299322177998304</v>
      </c>
    </row>
    <row r="6" spans="1:3" x14ac:dyDescent="0.45">
      <c r="A6" s="28">
        <v>7290000288307</v>
      </c>
      <c r="B6" s="29">
        <v>45809</v>
      </c>
      <c r="C6">
        <v>1.21581453211719</v>
      </c>
    </row>
    <row r="7" spans="1:3" x14ac:dyDescent="0.45">
      <c r="A7" s="28">
        <v>7290000288659</v>
      </c>
      <c r="B7" s="29">
        <v>45809</v>
      </c>
      <c r="C7">
        <v>1.21378588921742</v>
      </c>
    </row>
    <row r="8" spans="1:3" x14ac:dyDescent="0.45">
      <c r="A8" s="28">
        <v>7290000292915</v>
      </c>
      <c r="B8" s="29">
        <v>45809</v>
      </c>
      <c r="C8">
        <v>1.9504898689889101</v>
      </c>
    </row>
    <row r="9" spans="1:3" x14ac:dyDescent="0.45">
      <c r="A9" s="28">
        <v>7290000294780</v>
      </c>
      <c r="B9" s="29">
        <v>45809</v>
      </c>
      <c r="C9">
        <v>4.1795488724362402</v>
      </c>
    </row>
    <row r="10" spans="1:3" x14ac:dyDescent="0.45">
      <c r="A10" s="28">
        <v>7290000295367</v>
      </c>
      <c r="B10" s="29">
        <v>45809</v>
      </c>
      <c r="C10">
        <v>1.7668677508136399</v>
      </c>
    </row>
    <row r="11" spans="1:3" x14ac:dyDescent="0.45">
      <c r="A11" s="28">
        <v>7290000295541</v>
      </c>
      <c r="B11" s="29">
        <v>45809</v>
      </c>
      <c r="C11">
        <v>1.21851255968635</v>
      </c>
    </row>
    <row r="12" spans="1:3" x14ac:dyDescent="0.45">
      <c r="A12" s="28">
        <v>7290001246610</v>
      </c>
      <c r="B12" s="29">
        <v>45809</v>
      </c>
      <c r="C12">
        <v>1.7734305948460101</v>
      </c>
    </row>
    <row r="13" spans="1:3" x14ac:dyDescent="0.45">
      <c r="A13" s="28">
        <v>7290005424700</v>
      </c>
      <c r="B13" s="29">
        <v>45809</v>
      </c>
      <c r="C13">
        <v>1.9776703530331701</v>
      </c>
    </row>
    <row r="14" spans="1:3" x14ac:dyDescent="0.45">
      <c r="A14" s="28">
        <v>7290005425110</v>
      </c>
      <c r="B14" s="29">
        <v>45809</v>
      </c>
      <c r="C14">
        <v>1.9040390407955901</v>
      </c>
    </row>
    <row r="15" spans="1:3" x14ac:dyDescent="0.45">
      <c r="A15" s="28">
        <v>7290005425196</v>
      </c>
      <c r="B15" s="29">
        <v>45809</v>
      </c>
      <c r="C15">
        <v>1.7610651523740299</v>
      </c>
    </row>
    <row r="16" spans="1:3" x14ac:dyDescent="0.45">
      <c r="A16" s="28">
        <v>7290012116025</v>
      </c>
      <c r="B16" s="29">
        <v>45809</v>
      </c>
      <c r="C16">
        <v>1.9664437397813599</v>
      </c>
    </row>
    <row r="17" spans="1:3" x14ac:dyDescent="0.45">
      <c r="A17" s="28">
        <v>7290012117534</v>
      </c>
      <c r="B17" s="29">
        <v>45809</v>
      </c>
      <c r="C17">
        <v>1.75882131398357</v>
      </c>
    </row>
    <row r="18" spans="1:3" x14ac:dyDescent="0.45">
      <c r="A18" s="28">
        <v>7290013268204</v>
      </c>
      <c r="B18" s="29">
        <v>45809</v>
      </c>
      <c r="C18">
        <v>1.2293883823729099</v>
      </c>
    </row>
    <row r="19" spans="1:3" x14ac:dyDescent="0.45">
      <c r="A19" s="28">
        <v>7290013268891</v>
      </c>
      <c r="B19" s="29">
        <v>45809</v>
      </c>
      <c r="C19">
        <v>1.7760616567918399</v>
      </c>
    </row>
    <row r="20" spans="1:3" x14ac:dyDescent="0.45">
      <c r="A20" s="28">
        <v>7290013269003</v>
      </c>
      <c r="B20" s="29">
        <v>45809</v>
      </c>
      <c r="C20">
        <v>1.7440432466008899</v>
      </c>
    </row>
    <row r="21" spans="1:3" x14ac:dyDescent="0.45">
      <c r="A21" s="28">
        <v>7290014397453</v>
      </c>
      <c r="B21" s="29">
        <v>45809</v>
      </c>
      <c r="C21">
        <v>1.77135818512659</v>
      </c>
    </row>
    <row r="22" spans="1:3" x14ac:dyDescent="0.45">
      <c r="A22" s="28">
        <v>7290019274483</v>
      </c>
      <c r="B22" s="29">
        <v>45809</v>
      </c>
      <c r="C22">
        <v>1.7626200868965001</v>
      </c>
    </row>
    <row r="23" spans="1:3" x14ac:dyDescent="0.45">
      <c r="A23" s="28">
        <v>7290019274490</v>
      </c>
      <c r="B23" s="29">
        <v>45809</v>
      </c>
      <c r="C23">
        <v>1.7518229228368201</v>
      </c>
    </row>
    <row r="24" spans="1:3" x14ac:dyDescent="0.45">
      <c r="A24" s="28">
        <v>7290019611325</v>
      </c>
      <c r="B24" s="29">
        <v>45809</v>
      </c>
      <c r="C24">
        <v>1.74307596287453</v>
      </c>
    </row>
    <row r="25" spans="1:3" x14ac:dyDescent="0.45">
      <c r="A25" s="28">
        <v>7290103702489</v>
      </c>
      <c r="B25" s="29">
        <v>45809</v>
      </c>
      <c r="C25">
        <v>4.1885631725278403</v>
      </c>
    </row>
    <row r="26" spans="1:3" x14ac:dyDescent="0.45">
      <c r="A26" s="28">
        <v>7290103703370</v>
      </c>
      <c r="B26" s="29">
        <v>45809</v>
      </c>
      <c r="C26">
        <v>4.2064366290760704</v>
      </c>
    </row>
    <row r="27" spans="1:3" x14ac:dyDescent="0.45">
      <c r="A27" s="28">
        <v>7290103704155</v>
      </c>
      <c r="B27" s="29">
        <v>45809</v>
      </c>
      <c r="C27">
        <v>4.1778722472194803</v>
      </c>
    </row>
    <row r="28" spans="1:3" x14ac:dyDescent="0.45">
      <c r="A28" s="28">
        <v>7290103704179</v>
      </c>
      <c r="B28" s="29">
        <v>45809</v>
      </c>
      <c r="C28">
        <v>4.2079251410531704</v>
      </c>
    </row>
    <row r="29" spans="1:3" x14ac:dyDescent="0.45">
      <c r="A29" s="28">
        <v>7290103704919</v>
      </c>
      <c r="B29" s="29">
        <v>45809</v>
      </c>
      <c r="C29">
        <v>4.1774663754573904</v>
      </c>
    </row>
    <row r="30" spans="1:3" x14ac:dyDescent="0.45">
      <c r="A30" s="28">
        <v>7290107280099</v>
      </c>
      <c r="B30" s="29">
        <v>45809</v>
      </c>
      <c r="C30">
        <v>1.2250064376612599</v>
      </c>
    </row>
    <row r="31" spans="1:3" x14ac:dyDescent="0.45">
      <c r="A31" s="28">
        <v>7290108351699</v>
      </c>
      <c r="B31" s="29">
        <v>45809</v>
      </c>
      <c r="C31">
        <v>1.97116295675054</v>
      </c>
    </row>
    <row r="32" spans="1:3" x14ac:dyDescent="0.45">
      <c r="A32" s="28">
        <v>7290108352702</v>
      </c>
      <c r="B32" s="29">
        <v>45809</v>
      </c>
      <c r="C32">
        <v>1.2089688741281599</v>
      </c>
    </row>
    <row r="33" spans="1:3" x14ac:dyDescent="0.45">
      <c r="A33" s="28">
        <v>7290108356298</v>
      </c>
      <c r="B33" s="29">
        <v>45809</v>
      </c>
      <c r="C33">
        <v>1.9436323437873599</v>
      </c>
    </row>
    <row r="34" spans="1:3" x14ac:dyDescent="0.45">
      <c r="A34" s="28">
        <v>7290108356700</v>
      </c>
      <c r="B34" s="29">
        <v>45809</v>
      </c>
      <c r="C34">
        <v>1.21813370837487</v>
      </c>
    </row>
    <row r="35" spans="1:3" x14ac:dyDescent="0.45">
      <c r="A35" s="28">
        <v>7290108356717</v>
      </c>
      <c r="B35" s="29">
        <v>45809</v>
      </c>
      <c r="C35">
        <v>1.92910692758131</v>
      </c>
    </row>
    <row r="36" spans="1:3" x14ac:dyDescent="0.45">
      <c r="A36" s="28">
        <v>7290108356724</v>
      </c>
      <c r="B36" s="29">
        <v>45809</v>
      </c>
      <c r="C36">
        <v>1.9325439463259</v>
      </c>
    </row>
    <row r="37" spans="1:3" x14ac:dyDescent="0.45">
      <c r="A37" s="28">
        <v>7290108357240</v>
      </c>
      <c r="B37" s="29">
        <v>45809</v>
      </c>
      <c r="C37">
        <v>1.7640132493893299</v>
      </c>
    </row>
    <row r="38" spans="1:3" x14ac:dyDescent="0.45">
      <c r="A38" s="28">
        <v>7290108357288</v>
      </c>
      <c r="B38" s="29">
        <v>45809</v>
      </c>
      <c r="C38">
        <v>4.19183204759499</v>
      </c>
    </row>
    <row r="39" spans="1:3" x14ac:dyDescent="0.45">
      <c r="A39" s="28">
        <v>7290108357844</v>
      </c>
      <c r="B39" s="29">
        <v>45809</v>
      </c>
      <c r="C39">
        <v>1.95795043874387</v>
      </c>
    </row>
    <row r="40" spans="1:3" x14ac:dyDescent="0.45">
      <c r="A40" s="28">
        <v>7290108359077</v>
      </c>
      <c r="B40" s="29">
        <v>45809</v>
      </c>
      <c r="C40">
        <v>1.2098983478365499</v>
      </c>
    </row>
    <row r="41" spans="1:3" x14ac:dyDescent="0.45">
      <c r="A41" s="28">
        <v>7290108359176</v>
      </c>
      <c r="B41" s="29">
        <v>45809</v>
      </c>
      <c r="C41">
        <v>1.2151544318971099</v>
      </c>
    </row>
    <row r="42" spans="1:3" x14ac:dyDescent="0.45">
      <c r="A42" s="28">
        <v>7290108359190</v>
      </c>
      <c r="B42" s="29">
        <v>45809</v>
      </c>
      <c r="C42">
        <v>1.2130514785267501</v>
      </c>
    </row>
    <row r="43" spans="1:3" x14ac:dyDescent="0.45">
      <c r="A43" s="28">
        <v>8001090184375</v>
      </c>
      <c r="B43" s="29">
        <v>45809</v>
      </c>
      <c r="C43">
        <v>1.42033292869081</v>
      </c>
    </row>
    <row r="44" spans="1:3" x14ac:dyDescent="0.45">
      <c r="A44" s="28">
        <v>8001090184412</v>
      </c>
      <c r="B44" s="29">
        <v>45809</v>
      </c>
      <c r="C44">
        <v>4.1544202158170798</v>
      </c>
    </row>
    <row r="45" spans="1:3" x14ac:dyDescent="0.45">
      <c r="A45" s="28">
        <v>8001841625362</v>
      </c>
      <c r="B45" s="29">
        <v>45809</v>
      </c>
      <c r="C45">
        <v>1.7719170835956799</v>
      </c>
    </row>
    <row r="46" spans="1:3" x14ac:dyDescent="0.45">
      <c r="A46" s="28">
        <v>8001841893990</v>
      </c>
      <c r="B46" s="29">
        <v>45809</v>
      </c>
      <c r="C46">
        <v>1.2150334158454299</v>
      </c>
    </row>
    <row r="47" spans="1:3" x14ac:dyDescent="0.45">
      <c r="A47" s="28">
        <v>8006540429327</v>
      </c>
      <c r="B47" s="29">
        <v>45809</v>
      </c>
      <c r="C47">
        <v>4.1541784708175298</v>
      </c>
    </row>
    <row r="48" spans="1:3" x14ac:dyDescent="0.45">
      <c r="A48" s="28">
        <v>8700216163811</v>
      </c>
      <c r="B48" s="29">
        <v>45809</v>
      </c>
      <c r="C48">
        <v>4.1449574418996704</v>
      </c>
    </row>
    <row r="49" spans="1:3" x14ac:dyDescent="0.45">
      <c r="A49" s="28">
        <v>8700216236034</v>
      </c>
      <c r="B49" s="29">
        <v>45809</v>
      </c>
      <c r="C49">
        <v>1.4404991827079701</v>
      </c>
    </row>
    <row r="50" spans="1:3" x14ac:dyDescent="0.45">
      <c r="A50" s="28">
        <v>8700216236751</v>
      </c>
      <c r="B50" s="29">
        <v>45809</v>
      </c>
      <c r="C50">
        <v>1.7579145716903299</v>
      </c>
    </row>
    <row r="51" spans="1:3" x14ac:dyDescent="0.45">
      <c r="A51" s="28">
        <v>4084500088917</v>
      </c>
      <c r="B51" s="29">
        <v>45810</v>
      </c>
      <c r="C51">
        <v>4.2005430397281902</v>
      </c>
    </row>
    <row r="52" spans="1:3" x14ac:dyDescent="0.45">
      <c r="A52" s="28">
        <v>4084500853836</v>
      </c>
      <c r="B52" s="29">
        <v>45810</v>
      </c>
      <c r="C52">
        <v>4.19110906717916</v>
      </c>
    </row>
    <row r="53" spans="1:3" x14ac:dyDescent="0.45">
      <c r="A53" s="28">
        <v>7290000286921</v>
      </c>
      <c r="B53" s="29">
        <v>45810</v>
      </c>
      <c r="C53">
        <v>1.32245141760748</v>
      </c>
    </row>
    <row r="54" spans="1:3" x14ac:dyDescent="0.45">
      <c r="A54" s="28">
        <v>7290000288024</v>
      </c>
      <c r="B54" s="29">
        <v>45810</v>
      </c>
      <c r="C54">
        <v>4.2299322177998304</v>
      </c>
    </row>
    <row r="55" spans="1:3" x14ac:dyDescent="0.45">
      <c r="A55" s="28">
        <v>7290000288307</v>
      </c>
      <c r="B55" s="29">
        <v>45810</v>
      </c>
      <c r="C55">
        <v>1.21581453211719</v>
      </c>
    </row>
    <row r="56" spans="1:3" x14ac:dyDescent="0.45">
      <c r="A56" s="28">
        <v>7290000288659</v>
      </c>
      <c r="B56" s="29">
        <v>45810</v>
      </c>
      <c r="C56">
        <v>1.21378588921742</v>
      </c>
    </row>
    <row r="57" spans="1:3" x14ac:dyDescent="0.45">
      <c r="A57" s="28">
        <v>7290000292915</v>
      </c>
      <c r="B57" s="29">
        <v>45810</v>
      </c>
      <c r="C57">
        <v>1.9504898689889101</v>
      </c>
    </row>
    <row r="58" spans="1:3" x14ac:dyDescent="0.45">
      <c r="A58" s="28">
        <v>7290000294780</v>
      </c>
      <c r="B58" s="29">
        <v>45810</v>
      </c>
      <c r="C58">
        <v>4.1795488724362402</v>
      </c>
    </row>
    <row r="59" spans="1:3" x14ac:dyDescent="0.45">
      <c r="A59" s="28">
        <v>7290000295367</v>
      </c>
      <c r="B59" s="29">
        <v>45810</v>
      </c>
      <c r="C59">
        <v>1.7668677508136399</v>
      </c>
    </row>
    <row r="60" spans="1:3" x14ac:dyDescent="0.45">
      <c r="A60" s="28">
        <v>7290000295541</v>
      </c>
      <c r="B60" s="29">
        <v>45810</v>
      </c>
      <c r="C60">
        <v>1.21851255968635</v>
      </c>
    </row>
    <row r="61" spans="1:3" x14ac:dyDescent="0.45">
      <c r="A61" s="28">
        <v>7290001246610</v>
      </c>
      <c r="B61" s="29">
        <v>45810</v>
      </c>
      <c r="C61">
        <v>1.7734305948460101</v>
      </c>
    </row>
    <row r="62" spans="1:3" x14ac:dyDescent="0.45">
      <c r="A62" s="28">
        <v>7290005424700</v>
      </c>
      <c r="B62" s="29">
        <v>45810</v>
      </c>
      <c r="C62">
        <v>1.9776703530331701</v>
      </c>
    </row>
    <row r="63" spans="1:3" x14ac:dyDescent="0.45">
      <c r="A63" s="28">
        <v>7290005425110</v>
      </c>
      <c r="B63" s="29">
        <v>45810</v>
      </c>
      <c r="C63">
        <v>1.9040390407955901</v>
      </c>
    </row>
    <row r="64" spans="1:3" x14ac:dyDescent="0.45">
      <c r="A64" s="28">
        <v>7290005425196</v>
      </c>
      <c r="B64" s="29">
        <v>45810</v>
      </c>
      <c r="C64">
        <v>1.7610651523740299</v>
      </c>
    </row>
    <row r="65" spans="1:3" x14ac:dyDescent="0.45">
      <c r="A65" s="28">
        <v>7290012116025</v>
      </c>
      <c r="B65" s="29">
        <v>45810</v>
      </c>
      <c r="C65">
        <v>1.9664437397813599</v>
      </c>
    </row>
    <row r="66" spans="1:3" x14ac:dyDescent="0.45">
      <c r="A66" s="28">
        <v>7290012117534</v>
      </c>
      <c r="B66" s="29">
        <v>45810</v>
      </c>
      <c r="C66">
        <v>1.75882131398357</v>
      </c>
    </row>
    <row r="67" spans="1:3" x14ac:dyDescent="0.45">
      <c r="A67" s="28">
        <v>7290013268204</v>
      </c>
      <c r="B67" s="29">
        <v>45810</v>
      </c>
      <c r="C67">
        <v>1.2293883823729099</v>
      </c>
    </row>
    <row r="68" spans="1:3" x14ac:dyDescent="0.45">
      <c r="A68" s="28">
        <v>7290013268891</v>
      </c>
      <c r="B68" s="29">
        <v>45810</v>
      </c>
      <c r="C68">
        <v>1.7760616567918399</v>
      </c>
    </row>
    <row r="69" spans="1:3" x14ac:dyDescent="0.45">
      <c r="A69" s="28">
        <v>7290013269003</v>
      </c>
      <c r="B69" s="29">
        <v>45810</v>
      </c>
      <c r="C69">
        <v>1.7440432466008899</v>
      </c>
    </row>
    <row r="70" spans="1:3" x14ac:dyDescent="0.45">
      <c r="A70" s="28">
        <v>7290014397453</v>
      </c>
      <c r="B70" s="29">
        <v>45810</v>
      </c>
      <c r="C70">
        <v>1.77135818512659</v>
      </c>
    </row>
    <row r="71" spans="1:3" x14ac:dyDescent="0.45">
      <c r="A71" s="28">
        <v>7290019274483</v>
      </c>
      <c r="B71" s="29">
        <v>45810</v>
      </c>
      <c r="C71">
        <v>1.7626200868965001</v>
      </c>
    </row>
    <row r="72" spans="1:3" x14ac:dyDescent="0.45">
      <c r="A72" s="28">
        <v>7290019274490</v>
      </c>
      <c r="B72" s="29">
        <v>45810</v>
      </c>
      <c r="C72">
        <v>1.7518229228368201</v>
      </c>
    </row>
    <row r="73" spans="1:3" x14ac:dyDescent="0.45">
      <c r="A73" s="28">
        <v>7290019611325</v>
      </c>
      <c r="B73" s="29">
        <v>45810</v>
      </c>
      <c r="C73">
        <v>1.74307596287453</v>
      </c>
    </row>
    <row r="74" spans="1:3" x14ac:dyDescent="0.45">
      <c r="A74" s="28">
        <v>7290103702489</v>
      </c>
      <c r="B74" s="29">
        <v>45810</v>
      </c>
      <c r="C74">
        <v>4.1885631725278403</v>
      </c>
    </row>
    <row r="75" spans="1:3" x14ac:dyDescent="0.45">
      <c r="A75" s="28">
        <v>7290103703370</v>
      </c>
      <c r="B75" s="29">
        <v>45810</v>
      </c>
      <c r="C75">
        <v>4.2064366290760704</v>
      </c>
    </row>
    <row r="76" spans="1:3" x14ac:dyDescent="0.45">
      <c r="A76" s="28">
        <v>7290103704155</v>
      </c>
      <c r="B76" s="29">
        <v>45810</v>
      </c>
      <c r="C76">
        <v>4.1778722472194803</v>
      </c>
    </row>
    <row r="77" spans="1:3" x14ac:dyDescent="0.45">
      <c r="A77" s="28">
        <v>7290103704179</v>
      </c>
      <c r="B77" s="29">
        <v>45810</v>
      </c>
      <c r="C77">
        <v>4.2079251410531704</v>
      </c>
    </row>
    <row r="78" spans="1:3" x14ac:dyDescent="0.45">
      <c r="A78" s="28">
        <v>7290103704919</v>
      </c>
      <c r="B78" s="29">
        <v>45810</v>
      </c>
      <c r="C78">
        <v>4.1774663754573904</v>
      </c>
    </row>
    <row r="79" spans="1:3" x14ac:dyDescent="0.45">
      <c r="A79" s="28">
        <v>7290107280099</v>
      </c>
      <c r="B79" s="29">
        <v>45810</v>
      </c>
      <c r="C79">
        <v>1.2250064376612599</v>
      </c>
    </row>
    <row r="80" spans="1:3" x14ac:dyDescent="0.45">
      <c r="A80" s="28">
        <v>7290108351699</v>
      </c>
      <c r="B80" s="29">
        <v>45810</v>
      </c>
      <c r="C80">
        <v>1.97116295675054</v>
      </c>
    </row>
    <row r="81" spans="1:3" x14ac:dyDescent="0.45">
      <c r="A81" s="28">
        <v>7290108352702</v>
      </c>
      <c r="B81" s="29">
        <v>45810</v>
      </c>
      <c r="C81">
        <v>1.2089688741281599</v>
      </c>
    </row>
    <row r="82" spans="1:3" x14ac:dyDescent="0.45">
      <c r="A82" s="28">
        <v>7290108356298</v>
      </c>
      <c r="B82" s="29">
        <v>45810</v>
      </c>
      <c r="C82">
        <v>1.9436323437873599</v>
      </c>
    </row>
    <row r="83" spans="1:3" x14ac:dyDescent="0.45">
      <c r="A83" s="28">
        <v>7290108356700</v>
      </c>
      <c r="B83" s="29">
        <v>45810</v>
      </c>
      <c r="C83">
        <v>1.21813370837487</v>
      </c>
    </row>
    <row r="84" spans="1:3" x14ac:dyDescent="0.45">
      <c r="A84" s="28">
        <v>7290108356717</v>
      </c>
      <c r="B84" s="29">
        <v>45810</v>
      </c>
      <c r="C84">
        <v>1.92910692758131</v>
      </c>
    </row>
    <row r="85" spans="1:3" x14ac:dyDescent="0.45">
      <c r="A85" s="28">
        <v>7290108356724</v>
      </c>
      <c r="B85" s="29">
        <v>45810</v>
      </c>
      <c r="C85">
        <v>1.9325439463259</v>
      </c>
    </row>
    <row r="86" spans="1:3" x14ac:dyDescent="0.45">
      <c r="A86" s="28">
        <v>7290108357240</v>
      </c>
      <c r="B86" s="29">
        <v>45810</v>
      </c>
      <c r="C86">
        <v>1.7640132493893299</v>
      </c>
    </row>
    <row r="87" spans="1:3" x14ac:dyDescent="0.45">
      <c r="A87" s="28">
        <v>7290108357288</v>
      </c>
      <c r="B87" s="29">
        <v>45810</v>
      </c>
      <c r="C87">
        <v>4.19183204759499</v>
      </c>
    </row>
    <row r="88" spans="1:3" x14ac:dyDescent="0.45">
      <c r="A88" s="28">
        <v>7290108357844</v>
      </c>
      <c r="B88" s="29">
        <v>45810</v>
      </c>
      <c r="C88">
        <v>1.95795043874387</v>
      </c>
    </row>
    <row r="89" spans="1:3" x14ac:dyDescent="0.45">
      <c r="A89" s="28">
        <v>7290108359077</v>
      </c>
      <c r="B89" s="29">
        <v>45810</v>
      </c>
      <c r="C89">
        <v>1.2098983478365499</v>
      </c>
    </row>
    <row r="90" spans="1:3" x14ac:dyDescent="0.45">
      <c r="A90" s="28">
        <v>7290108359176</v>
      </c>
      <c r="B90" s="29">
        <v>45810</v>
      </c>
      <c r="C90">
        <v>1.2151544318971099</v>
      </c>
    </row>
    <row r="91" spans="1:3" x14ac:dyDescent="0.45">
      <c r="A91" s="28">
        <v>7290108359190</v>
      </c>
      <c r="B91" s="29">
        <v>45810</v>
      </c>
      <c r="C91">
        <v>1.2130514785267501</v>
      </c>
    </row>
    <row r="92" spans="1:3" x14ac:dyDescent="0.45">
      <c r="A92" s="28">
        <v>8001090184375</v>
      </c>
      <c r="B92" s="29">
        <v>45810</v>
      </c>
      <c r="C92">
        <v>1.42033292869081</v>
      </c>
    </row>
    <row r="93" spans="1:3" x14ac:dyDescent="0.45">
      <c r="A93" s="28">
        <v>8001090184412</v>
      </c>
      <c r="B93" s="29">
        <v>45810</v>
      </c>
      <c r="C93">
        <v>4.1544202158170798</v>
      </c>
    </row>
    <row r="94" spans="1:3" x14ac:dyDescent="0.45">
      <c r="A94" s="28">
        <v>8001841625362</v>
      </c>
      <c r="B94" s="29">
        <v>45810</v>
      </c>
      <c r="C94">
        <v>1.7719170835956799</v>
      </c>
    </row>
    <row r="95" spans="1:3" x14ac:dyDescent="0.45">
      <c r="A95" s="28">
        <v>8001841893990</v>
      </c>
      <c r="B95" s="29">
        <v>45810</v>
      </c>
      <c r="C95">
        <v>1.2150334158454299</v>
      </c>
    </row>
    <row r="96" spans="1:3" x14ac:dyDescent="0.45">
      <c r="A96" s="28">
        <v>8006540429327</v>
      </c>
      <c r="B96" s="29">
        <v>45810</v>
      </c>
      <c r="C96">
        <v>4.1541784708175298</v>
      </c>
    </row>
    <row r="97" spans="1:3" x14ac:dyDescent="0.45">
      <c r="A97" s="28">
        <v>8700216163811</v>
      </c>
      <c r="B97" s="29">
        <v>45810</v>
      </c>
      <c r="C97">
        <v>4.1449574418996704</v>
      </c>
    </row>
    <row r="98" spans="1:3" x14ac:dyDescent="0.45">
      <c r="A98" s="28">
        <v>8700216236034</v>
      </c>
      <c r="B98" s="29">
        <v>45810</v>
      </c>
      <c r="C98">
        <v>1.4404991827079701</v>
      </c>
    </row>
    <row r="99" spans="1:3" x14ac:dyDescent="0.45">
      <c r="A99" s="28">
        <v>8700216236751</v>
      </c>
      <c r="B99" s="29">
        <v>45810</v>
      </c>
      <c r="C99">
        <v>1.7579145716903299</v>
      </c>
    </row>
    <row r="100" spans="1:3" x14ac:dyDescent="0.45">
      <c r="A100" s="28">
        <v>4084500088917</v>
      </c>
      <c r="B100" s="29">
        <v>45811</v>
      </c>
      <c r="C100">
        <v>4.2005430397281902</v>
      </c>
    </row>
    <row r="101" spans="1:3" x14ac:dyDescent="0.45">
      <c r="A101" s="28">
        <v>4084500853836</v>
      </c>
      <c r="B101" s="29">
        <v>45811</v>
      </c>
      <c r="C101">
        <v>4.19110906717916</v>
      </c>
    </row>
    <row r="102" spans="1:3" x14ac:dyDescent="0.45">
      <c r="A102" s="28">
        <v>7290000286921</v>
      </c>
      <c r="B102" s="29">
        <v>45811</v>
      </c>
      <c r="C102">
        <v>1.32245141760748</v>
      </c>
    </row>
    <row r="103" spans="1:3" x14ac:dyDescent="0.45">
      <c r="A103" s="28">
        <v>7290000288024</v>
      </c>
      <c r="B103" s="29">
        <v>45811</v>
      </c>
      <c r="C103">
        <v>4.2299322177998304</v>
      </c>
    </row>
    <row r="104" spans="1:3" x14ac:dyDescent="0.45">
      <c r="A104" s="28">
        <v>7290000288307</v>
      </c>
      <c r="B104" s="29">
        <v>45811</v>
      </c>
      <c r="C104">
        <v>1.21581453211719</v>
      </c>
    </row>
    <row r="105" spans="1:3" x14ac:dyDescent="0.45">
      <c r="A105" s="28">
        <v>7290000288659</v>
      </c>
      <c r="B105" s="29">
        <v>45811</v>
      </c>
      <c r="C105">
        <v>1.21378588921742</v>
      </c>
    </row>
    <row r="106" spans="1:3" x14ac:dyDescent="0.45">
      <c r="A106" s="28">
        <v>7290000292915</v>
      </c>
      <c r="B106" s="29">
        <v>45811</v>
      </c>
      <c r="C106">
        <v>1.9504898689889101</v>
      </c>
    </row>
    <row r="107" spans="1:3" x14ac:dyDescent="0.45">
      <c r="A107" s="28">
        <v>7290000294780</v>
      </c>
      <c r="B107" s="29">
        <v>45811</v>
      </c>
      <c r="C107">
        <v>4.1795488724362402</v>
      </c>
    </row>
    <row r="108" spans="1:3" x14ac:dyDescent="0.45">
      <c r="A108" s="28">
        <v>7290000295367</v>
      </c>
      <c r="B108" s="29">
        <v>45811</v>
      </c>
      <c r="C108">
        <v>1.7668677508136399</v>
      </c>
    </row>
    <row r="109" spans="1:3" x14ac:dyDescent="0.45">
      <c r="A109" s="28">
        <v>7290000295541</v>
      </c>
      <c r="B109" s="29">
        <v>45811</v>
      </c>
      <c r="C109">
        <v>1.21851255968635</v>
      </c>
    </row>
    <row r="110" spans="1:3" x14ac:dyDescent="0.45">
      <c r="A110" s="28">
        <v>7290001246610</v>
      </c>
      <c r="B110" s="29">
        <v>45811</v>
      </c>
      <c r="C110">
        <v>1.7734305948460101</v>
      </c>
    </row>
    <row r="111" spans="1:3" x14ac:dyDescent="0.45">
      <c r="A111" s="28">
        <v>7290005424700</v>
      </c>
      <c r="B111" s="29">
        <v>45811</v>
      </c>
      <c r="C111">
        <v>1.9776703530331701</v>
      </c>
    </row>
    <row r="112" spans="1:3" x14ac:dyDescent="0.45">
      <c r="A112" s="28">
        <v>7290005425110</v>
      </c>
      <c r="B112" s="29">
        <v>45811</v>
      </c>
      <c r="C112">
        <v>1.9040390407955901</v>
      </c>
    </row>
    <row r="113" spans="1:3" x14ac:dyDescent="0.45">
      <c r="A113" s="28">
        <v>7290005425196</v>
      </c>
      <c r="B113" s="29">
        <v>45811</v>
      </c>
      <c r="C113">
        <v>1.7610651523740299</v>
      </c>
    </row>
    <row r="114" spans="1:3" x14ac:dyDescent="0.45">
      <c r="A114" s="28">
        <v>7290012116025</v>
      </c>
      <c r="B114" s="29">
        <v>45811</v>
      </c>
      <c r="C114">
        <v>1.9664437397813599</v>
      </c>
    </row>
    <row r="115" spans="1:3" x14ac:dyDescent="0.45">
      <c r="A115" s="28">
        <v>7290012117534</v>
      </c>
      <c r="B115" s="29">
        <v>45811</v>
      </c>
      <c r="C115">
        <v>1.75882131398357</v>
      </c>
    </row>
    <row r="116" spans="1:3" x14ac:dyDescent="0.45">
      <c r="A116" s="28">
        <v>7290013268204</v>
      </c>
      <c r="B116" s="29">
        <v>45811</v>
      </c>
      <c r="C116">
        <v>1.2293883823729099</v>
      </c>
    </row>
    <row r="117" spans="1:3" x14ac:dyDescent="0.45">
      <c r="A117" s="28">
        <v>7290013268891</v>
      </c>
      <c r="B117" s="29">
        <v>45811</v>
      </c>
      <c r="C117">
        <v>1.7760616567918399</v>
      </c>
    </row>
    <row r="118" spans="1:3" x14ac:dyDescent="0.45">
      <c r="A118" s="28">
        <v>7290013269003</v>
      </c>
      <c r="B118" s="29">
        <v>45811</v>
      </c>
      <c r="C118">
        <v>1.7440432466008899</v>
      </c>
    </row>
    <row r="119" spans="1:3" x14ac:dyDescent="0.45">
      <c r="A119" s="28">
        <v>7290014397453</v>
      </c>
      <c r="B119" s="29">
        <v>45811</v>
      </c>
      <c r="C119">
        <v>1.77135818512659</v>
      </c>
    </row>
    <row r="120" spans="1:3" x14ac:dyDescent="0.45">
      <c r="A120" s="28">
        <v>7290019274483</v>
      </c>
      <c r="B120" s="29">
        <v>45811</v>
      </c>
      <c r="C120">
        <v>1.7626200868965001</v>
      </c>
    </row>
    <row r="121" spans="1:3" x14ac:dyDescent="0.45">
      <c r="A121" s="28">
        <v>7290019274490</v>
      </c>
      <c r="B121" s="29">
        <v>45811</v>
      </c>
      <c r="C121">
        <v>1.7518229228368201</v>
      </c>
    </row>
    <row r="122" spans="1:3" x14ac:dyDescent="0.45">
      <c r="A122" s="28">
        <v>7290019611325</v>
      </c>
      <c r="B122" s="29">
        <v>45811</v>
      </c>
      <c r="C122">
        <v>1.74307596287453</v>
      </c>
    </row>
    <row r="123" spans="1:3" x14ac:dyDescent="0.45">
      <c r="A123" s="28">
        <v>7290103702489</v>
      </c>
      <c r="B123" s="29">
        <v>45811</v>
      </c>
      <c r="C123">
        <v>4.1885631725278403</v>
      </c>
    </row>
    <row r="124" spans="1:3" x14ac:dyDescent="0.45">
      <c r="A124" s="28">
        <v>7290103703370</v>
      </c>
      <c r="B124" s="29">
        <v>45811</v>
      </c>
      <c r="C124">
        <v>4.2064366290760704</v>
      </c>
    </row>
    <row r="125" spans="1:3" x14ac:dyDescent="0.45">
      <c r="A125" s="28">
        <v>7290103704155</v>
      </c>
      <c r="B125" s="29">
        <v>45811</v>
      </c>
      <c r="C125">
        <v>4.1778722472194803</v>
      </c>
    </row>
    <row r="126" spans="1:3" x14ac:dyDescent="0.45">
      <c r="A126" s="28">
        <v>7290103704179</v>
      </c>
      <c r="B126" s="29">
        <v>45811</v>
      </c>
      <c r="C126">
        <v>4.2079251410531704</v>
      </c>
    </row>
    <row r="127" spans="1:3" x14ac:dyDescent="0.45">
      <c r="A127" s="28">
        <v>7290103704919</v>
      </c>
      <c r="B127" s="29">
        <v>45811</v>
      </c>
      <c r="C127">
        <v>4.1774663754573904</v>
      </c>
    </row>
    <row r="128" spans="1:3" x14ac:dyDescent="0.45">
      <c r="A128" s="28">
        <v>7290107280099</v>
      </c>
      <c r="B128" s="29">
        <v>45811</v>
      </c>
      <c r="C128">
        <v>1.2250064376612599</v>
      </c>
    </row>
    <row r="129" spans="1:3" x14ac:dyDescent="0.45">
      <c r="A129" s="28">
        <v>7290108351699</v>
      </c>
      <c r="B129" s="29">
        <v>45811</v>
      </c>
      <c r="C129">
        <v>1.97116295675054</v>
      </c>
    </row>
    <row r="130" spans="1:3" x14ac:dyDescent="0.45">
      <c r="A130" s="28">
        <v>7290108352702</v>
      </c>
      <c r="B130" s="29">
        <v>45811</v>
      </c>
      <c r="C130">
        <v>1.2089688741281599</v>
      </c>
    </row>
    <row r="131" spans="1:3" x14ac:dyDescent="0.45">
      <c r="A131" s="28">
        <v>7290108356298</v>
      </c>
      <c r="B131" s="29">
        <v>45811</v>
      </c>
      <c r="C131">
        <v>1.9436323437873599</v>
      </c>
    </row>
    <row r="132" spans="1:3" x14ac:dyDescent="0.45">
      <c r="A132" s="28">
        <v>7290108356700</v>
      </c>
      <c r="B132" s="29">
        <v>45811</v>
      </c>
      <c r="C132">
        <v>1.21813370837487</v>
      </c>
    </row>
    <row r="133" spans="1:3" x14ac:dyDescent="0.45">
      <c r="A133" s="28">
        <v>7290108356717</v>
      </c>
      <c r="B133" s="29">
        <v>45811</v>
      </c>
      <c r="C133">
        <v>1.92910692758131</v>
      </c>
    </row>
    <row r="134" spans="1:3" x14ac:dyDescent="0.45">
      <c r="A134" s="28">
        <v>7290108356724</v>
      </c>
      <c r="B134" s="29">
        <v>45811</v>
      </c>
      <c r="C134">
        <v>1.9325439463259</v>
      </c>
    </row>
    <row r="135" spans="1:3" x14ac:dyDescent="0.45">
      <c r="A135" s="28">
        <v>7290108357240</v>
      </c>
      <c r="B135" s="29">
        <v>45811</v>
      </c>
      <c r="C135">
        <v>1.7640132493893299</v>
      </c>
    </row>
    <row r="136" spans="1:3" x14ac:dyDescent="0.45">
      <c r="A136" s="28">
        <v>7290108357288</v>
      </c>
      <c r="B136" s="29">
        <v>45811</v>
      </c>
      <c r="C136">
        <v>4.19183204759499</v>
      </c>
    </row>
    <row r="137" spans="1:3" x14ac:dyDescent="0.45">
      <c r="A137" s="28">
        <v>7290108357844</v>
      </c>
      <c r="B137" s="29">
        <v>45811</v>
      </c>
      <c r="C137">
        <v>1.95795043874387</v>
      </c>
    </row>
    <row r="138" spans="1:3" x14ac:dyDescent="0.45">
      <c r="A138" s="28">
        <v>7290108359077</v>
      </c>
      <c r="B138" s="29">
        <v>45811</v>
      </c>
      <c r="C138">
        <v>1.2098983478365499</v>
      </c>
    </row>
    <row r="139" spans="1:3" x14ac:dyDescent="0.45">
      <c r="A139" s="28">
        <v>7290108359176</v>
      </c>
      <c r="B139" s="29">
        <v>45811</v>
      </c>
      <c r="C139">
        <v>1.2151544318971099</v>
      </c>
    </row>
    <row r="140" spans="1:3" x14ac:dyDescent="0.45">
      <c r="A140" s="28">
        <v>7290108359190</v>
      </c>
      <c r="B140" s="29">
        <v>45811</v>
      </c>
      <c r="C140">
        <v>1.2130514785267501</v>
      </c>
    </row>
    <row r="141" spans="1:3" x14ac:dyDescent="0.45">
      <c r="A141" s="28">
        <v>8001090184375</v>
      </c>
      <c r="B141" s="29">
        <v>45811</v>
      </c>
      <c r="C141">
        <v>1.42033292869081</v>
      </c>
    </row>
    <row r="142" spans="1:3" x14ac:dyDescent="0.45">
      <c r="A142" s="28">
        <v>8001090184412</v>
      </c>
      <c r="B142" s="29">
        <v>45811</v>
      </c>
      <c r="C142">
        <v>4.1544202158170798</v>
      </c>
    </row>
    <row r="143" spans="1:3" x14ac:dyDescent="0.45">
      <c r="A143" s="28">
        <v>8001841625362</v>
      </c>
      <c r="B143" s="29">
        <v>45811</v>
      </c>
      <c r="C143">
        <v>1.7719170835956799</v>
      </c>
    </row>
    <row r="144" spans="1:3" x14ac:dyDescent="0.45">
      <c r="A144" s="28">
        <v>8001841893990</v>
      </c>
      <c r="B144" s="29">
        <v>45811</v>
      </c>
      <c r="C144">
        <v>1.2150334158454299</v>
      </c>
    </row>
    <row r="145" spans="1:3" x14ac:dyDescent="0.45">
      <c r="A145" s="28">
        <v>8006540429327</v>
      </c>
      <c r="B145" s="29">
        <v>45811</v>
      </c>
      <c r="C145">
        <v>4.1541784708175298</v>
      </c>
    </row>
    <row r="146" spans="1:3" x14ac:dyDescent="0.45">
      <c r="A146" s="28">
        <v>8700216163811</v>
      </c>
      <c r="B146" s="29">
        <v>45811</v>
      </c>
      <c r="C146">
        <v>4.1449574418996704</v>
      </c>
    </row>
    <row r="147" spans="1:3" x14ac:dyDescent="0.45">
      <c r="A147" s="28">
        <v>8700216236034</v>
      </c>
      <c r="B147" s="29">
        <v>45811</v>
      </c>
      <c r="C147">
        <v>1.4404991827079701</v>
      </c>
    </row>
    <row r="148" spans="1:3" x14ac:dyDescent="0.45">
      <c r="A148" s="28">
        <v>8700216236751</v>
      </c>
      <c r="B148" s="29">
        <v>45811</v>
      </c>
      <c r="C148">
        <v>1.7579145716903299</v>
      </c>
    </row>
    <row r="149" spans="1:3" x14ac:dyDescent="0.45">
      <c r="A149" s="28">
        <v>4084500088917</v>
      </c>
      <c r="B149" s="29">
        <v>45812</v>
      </c>
      <c r="C149">
        <v>4.2005430397281902</v>
      </c>
    </row>
    <row r="150" spans="1:3" x14ac:dyDescent="0.45">
      <c r="A150" s="28">
        <v>4084500853836</v>
      </c>
      <c r="B150" s="29">
        <v>45812</v>
      </c>
      <c r="C150">
        <v>4.19110906717916</v>
      </c>
    </row>
    <row r="151" spans="1:3" x14ac:dyDescent="0.45">
      <c r="A151" s="28">
        <v>7290000286921</v>
      </c>
      <c r="B151" s="29">
        <v>45812</v>
      </c>
      <c r="C151">
        <v>1.32245141760748</v>
      </c>
    </row>
    <row r="152" spans="1:3" x14ac:dyDescent="0.45">
      <c r="A152" s="28">
        <v>7290000288024</v>
      </c>
      <c r="B152" s="29">
        <v>45812</v>
      </c>
      <c r="C152">
        <v>4.2299322177998304</v>
      </c>
    </row>
    <row r="153" spans="1:3" x14ac:dyDescent="0.45">
      <c r="A153" s="28">
        <v>7290000288307</v>
      </c>
      <c r="B153" s="29">
        <v>45812</v>
      </c>
      <c r="C153">
        <v>1.21581453211719</v>
      </c>
    </row>
    <row r="154" spans="1:3" x14ac:dyDescent="0.45">
      <c r="A154" s="28">
        <v>7290000288659</v>
      </c>
      <c r="B154" s="29">
        <v>45812</v>
      </c>
      <c r="C154">
        <v>1.21378588921742</v>
      </c>
    </row>
    <row r="155" spans="1:3" x14ac:dyDescent="0.45">
      <c r="A155" s="28">
        <v>7290000292915</v>
      </c>
      <c r="B155" s="29">
        <v>45812</v>
      </c>
      <c r="C155">
        <v>1.9504898689889101</v>
      </c>
    </row>
    <row r="156" spans="1:3" x14ac:dyDescent="0.45">
      <c r="A156" s="28">
        <v>7290000294780</v>
      </c>
      <c r="B156" s="29">
        <v>45812</v>
      </c>
      <c r="C156">
        <v>4.1795488724362402</v>
      </c>
    </row>
    <row r="157" spans="1:3" x14ac:dyDescent="0.45">
      <c r="A157" s="28">
        <v>7290000295367</v>
      </c>
      <c r="B157" s="29">
        <v>45812</v>
      </c>
      <c r="C157">
        <v>1.7668677508136399</v>
      </c>
    </row>
    <row r="158" spans="1:3" x14ac:dyDescent="0.45">
      <c r="A158" s="28">
        <v>7290000295541</v>
      </c>
      <c r="B158" s="29">
        <v>45812</v>
      </c>
      <c r="C158">
        <v>1.21851255968635</v>
      </c>
    </row>
    <row r="159" spans="1:3" x14ac:dyDescent="0.45">
      <c r="A159" s="28">
        <v>7290001246610</v>
      </c>
      <c r="B159" s="29">
        <v>45812</v>
      </c>
      <c r="C159">
        <v>1.7734305948460101</v>
      </c>
    </row>
    <row r="160" spans="1:3" x14ac:dyDescent="0.45">
      <c r="A160" s="28">
        <v>7290005424700</v>
      </c>
      <c r="B160" s="29">
        <v>45812</v>
      </c>
      <c r="C160">
        <v>1.9776703530331701</v>
      </c>
    </row>
    <row r="161" spans="1:3" x14ac:dyDescent="0.45">
      <c r="A161" s="28">
        <v>7290005425110</v>
      </c>
      <c r="B161" s="29">
        <v>45812</v>
      </c>
      <c r="C161">
        <v>1.9040390407955901</v>
      </c>
    </row>
    <row r="162" spans="1:3" x14ac:dyDescent="0.45">
      <c r="A162" s="28">
        <v>7290005425196</v>
      </c>
      <c r="B162" s="29">
        <v>45812</v>
      </c>
      <c r="C162">
        <v>1.7610651523740299</v>
      </c>
    </row>
    <row r="163" spans="1:3" x14ac:dyDescent="0.45">
      <c r="A163" s="28">
        <v>7290012116025</v>
      </c>
      <c r="B163" s="29">
        <v>45812</v>
      </c>
      <c r="C163">
        <v>1.9664437397813599</v>
      </c>
    </row>
    <row r="164" spans="1:3" x14ac:dyDescent="0.45">
      <c r="A164" s="28">
        <v>7290012117534</v>
      </c>
      <c r="B164" s="29">
        <v>45812</v>
      </c>
      <c r="C164">
        <v>1.75882131398357</v>
      </c>
    </row>
    <row r="165" spans="1:3" x14ac:dyDescent="0.45">
      <c r="A165" s="28">
        <v>7290013268204</v>
      </c>
      <c r="B165" s="29">
        <v>45812</v>
      </c>
      <c r="C165">
        <v>1.2293883823729099</v>
      </c>
    </row>
    <row r="166" spans="1:3" x14ac:dyDescent="0.45">
      <c r="A166" s="28">
        <v>7290013268891</v>
      </c>
      <c r="B166" s="29">
        <v>45812</v>
      </c>
      <c r="C166">
        <v>1.7760616567918399</v>
      </c>
    </row>
    <row r="167" spans="1:3" x14ac:dyDescent="0.45">
      <c r="A167" s="28">
        <v>7290013269003</v>
      </c>
      <c r="B167" s="29">
        <v>45812</v>
      </c>
      <c r="C167">
        <v>1.7440432466008899</v>
      </c>
    </row>
    <row r="168" spans="1:3" x14ac:dyDescent="0.45">
      <c r="A168" s="28">
        <v>7290014397453</v>
      </c>
      <c r="B168" s="29">
        <v>45812</v>
      </c>
      <c r="C168">
        <v>1.77135818512659</v>
      </c>
    </row>
    <row r="169" spans="1:3" x14ac:dyDescent="0.45">
      <c r="A169" s="28">
        <v>7290019274483</v>
      </c>
      <c r="B169" s="29">
        <v>45812</v>
      </c>
      <c r="C169">
        <v>1.7626200868965001</v>
      </c>
    </row>
    <row r="170" spans="1:3" x14ac:dyDescent="0.45">
      <c r="A170" s="28">
        <v>7290019274490</v>
      </c>
      <c r="B170" s="29">
        <v>45812</v>
      </c>
      <c r="C170">
        <v>1.7518229228368201</v>
      </c>
    </row>
    <row r="171" spans="1:3" x14ac:dyDescent="0.45">
      <c r="A171" s="28">
        <v>7290019611325</v>
      </c>
      <c r="B171" s="29">
        <v>45812</v>
      </c>
      <c r="C171">
        <v>1.74307596287453</v>
      </c>
    </row>
    <row r="172" spans="1:3" x14ac:dyDescent="0.45">
      <c r="A172" s="28">
        <v>7290103702489</v>
      </c>
      <c r="B172" s="29">
        <v>45812</v>
      </c>
      <c r="C172">
        <v>4.1885631725278403</v>
      </c>
    </row>
    <row r="173" spans="1:3" x14ac:dyDescent="0.45">
      <c r="A173" s="28">
        <v>7290103703370</v>
      </c>
      <c r="B173" s="29">
        <v>45812</v>
      </c>
      <c r="C173">
        <v>4.2064366290760704</v>
      </c>
    </row>
    <row r="174" spans="1:3" x14ac:dyDescent="0.45">
      <c r="A174" s="28">
        <v>7290103704155</v>
      </c>
      <c r="B174" s="29">
        <v>45812</v>
      </c>
      <c r="C174">
        <v>4.1778722472194803</v>
      </c>
    </row>
    <row r="175" spans="1:3" x14ac:dyDescent="0.45">
      <c r="A175" s="28">
        <v>7290103704179</v>
      </c>
      <c r="B175" s="29">
        <v>45812</v>
      </c>
      <c r="C175">
        <v>4.2079251410531704</v>
      </c>
    </row>
    <row r="176" spans="1:3" x14ac:dyDescent="0.45">
      <c r="A176" s="28">
        <v>7290103704919</v>
      </c>
      <c r="B176" s="29">
        <v>45812</v>
      </c>
      <c r="C176">
        <v>4.1774663754573904</v>
      </c>
    </row>
    <row r="177" spans="1:3" x14ac:dyDescent="0.45">
      <c r="A177" s="28">
        <v>7290107280099</v>
      </c>
      <c r="B177" s="29">
        <v>45812</v>
      </c>
      <c r="C177">
        <v>1.2250064376612599</v>
      </c>
    </row>
    <row r="178" spans="1:3" x14ac:dyDescent="0.45">
      <c r="A178" s="28">
        <v>7290108351699</v>
      </c>
      <c r="B178" s="29">
        <v>45812</v>
      </c>
      <c r="C178">
        <v>1.97116295675054</v>
      </c>
    </row>
    <row r="179" spans="1:3" x14ac:dyDescent="0.45">
      <c r="A179" s="28">
        <v>7290108352702</v>
      </c>
      <c r="B179" s="29">
        <v>45812</v>
      </c>
      <c r="C179">
        <v>1.2089688741281599</v>
      </c>
    </row>
    <row r="180" spans="1:3" x14ac:dyDescent="0.45">
      <c r="A180" s="28">
        <v>7290108356298</v>
      </c>
      <c r="B180" s="29">
        <v>45812</v>
      </c>
      <c r="C180">
        <v>1.9436323437873599</v>
      </c>
    </row>
    <row r="181" spans="1:3" x14ac:dyDescent="0.45">
      <c r="A181" s="28">
        <v>7290108356700</v>
      </c>
      <c r="B181" s="29">
        <v>45812</v>
      </c>
      <c r="C181">
        <v>1.21813370837487</v>
      </c>
    </row>
    <row r="182" spans="1:3" x14ac:dyDescent="0.45">
      <c r="A182" s="28">
        <v>7290108356717</v>
      </c>
      <c r="B182" s="29">
        <v>45812</v>
      </c>
      <c r="C182">
        <v>1.92910692758131</v>
      </c>
    </row>
    <row r="183" spans="1:3" x14ac:dyDescent="0.45">
      <c r="A183" s="28">
        <v>7290108356724</v>
      </c>
      <c r="B183" s="29">
        <v>45812</v>
      </c>
      <c r="C183">
        <v>1.9325439463259</v>
      </c>
    </row>
    <row r="184" spans="1:3" x14ac:dyDescent="0.45">
      <c r="A184" s="28">
        <v>7290108357240</v>
      </c>
      <c r="B184" s="29">
        <v>45812</v>
      </c>
      <c r="C184">
        <v>1.7640132493893299</v>
      </c>
    </row>
    <row r="185" spans="1:3" x14ac:dyDescent="0.45">
      <c r="A185" s="28">
        <v>7290108357288</v>
      </c>
      <c r="B185" s="29">
        <v>45812</v>
      </c>
      <c r="C185">
        <v>4.19183204759499</v>
      </c>
    </row>
    <row r="186" spans="1:3" x14ac:dyDescent="0.45">
      <c r="A186" s="28">
        <v>7290108357844</v>
      </c>
      <c r="B186" s="29">
        <v>45812</v>
      </c>
      <c r="C186">
        <v>1.95795043874387</v>
      </c>
    </row>
    <row r="187" spans="1:3" x14ac:dyDescent="0.45">
      <c r="A187" s="28">
        <v>7290108359077</v>
      </c>
      <c r="B187" s="29">
        <v>45812</v>
      </c>
      <c r="C187">
        <v>1.2098983478365499</v>
      </c>
    </row>
    <row r="188" spans="1:3" x14ac:dyDescent="0.45">
      <c r="A188" s="28">
        <v>7290108359176</v>
      </c>
      <c r="B188" s="29">
        <v>45812</v>
      </c>
      <c r="C188">
        <v>1.2151544318971099</v>
      </c>
    </row>
    <row r="189" spans="1:3" x14ac:dyDescent="0.45">
      <c r="A189" s="28">
        <v>7290108359190</v>
      </c>
      <c r="B189" s="29">
        <v>45812</v>
      </c>
      <c r="C189">
        <v>1.2130514785267501</v>
      </c>
    </row>
    <row r="190" spans="1:3" x14ac:dyDescent="0.45">
      <c r="A190" s="28">
        <v>8001090184375</v>
      </c>
      <c r="B190" s="29">
        <v>45812</v>
      </c>
      <c r="C190">
        <v>1.42033292869081</v>
      </c>
    </row>
    <row r="191" spans="1:3" x14ac:dyDescent="0.45">
      <c r="A191" s="28">
        <v>8001090184412</v>
      </c>
      <c r="B191" s="29">
        <v>45812</v>
      </c>
      <c r="C191">
        <v>4.1544202158170798</v>
      </c>
    </row>
    <row r="192" spans="1:3" x14ac:dyDescent="0.45">
      <c r="A192" s="28">
        <v>8001841625362</v>
      </c>
      <c r="B192" s="29">
        <v>45812</v>
      </c>
      <c r="C192">
        <v>1.7719170835956799</v>
      </c>
    </row>
    <row r="193" spans="1:3" x14ac:dyDescent="0.45">
      <c r="A193" s="28">
        <v>8001841893990</v>
      </c>
      <c r="B193" s="29">
        <v>45812</v>
      </c>
      <c r="C193">
        <v>1.2150334158454299</v>
      </c>
    </row>
    <row r="194" spans="1:3" x14ac:dyDescent="0.45">
      <c r="A194" s="28">
        <v>8006540429327</v>
      </c>
      <c r="B194" s="29">
        <v>45812</v>
      </c>
      <c r="C194">
        <v>4.1541784708175298</v>
      </c>
    </row>
    <row r="195" spans="1:3" x14ac:dyDescent="0.45">
      <c r="A195" s="28">
        <v>8700216163811</v>
      </c>
      <c r="B195" s="29">
        <v>45812</v>
      </c>
      <c r="C195">
        <v>4.1449574418996704</v>
      </c>
    </row>
    <row r="196" spans="1:3" x14ac:dyDescent="0.45">
      <c r="A196" s="28">
        <v>8700216236034</v>
      </c>
      <c r="B196" s="29">
        <v>45812</v>
      </c>
      <c r="C196">
        <v>1.4404991827079701</v>
      </c>
    </row>
    <row r="197" spans="1:3" x14ac:dyDescent="0.45">
      <c r="A197" s="28">
        <v>8700216236751</v>
      </c>
      <c r="B197" s="29">
        <v>45812</v>
      </c>
      <c r="C197">
        <v>1.7579145716903299</v>
      </c>
    </row>
    <row r="198" spans="1:3" x14ac:dyDescent="0.45">
      <c r="A198" s="28">
        <v>4084500088917</v>
      </c>
      <c r="B198" s="29">
        <v>45813</v>
      </c>
      <c r="C198">
        <v>4.2005430397281902</v>
      </c>
    </row>
    <row r="199" spans="1:3" x14ac:dyDescent="0.45">
      <c r="A199" s="28">
        <v>4084500853836</v>
      </c>
      <c r="B199" s="29">
        <v>45813</v>
      </c>
      <c r="C199">
        <v>4.19110906717916</v>
      </c>
    </row>
    <row r="200" spans="1:3" x14ac:dyDescent="0.45">
      <c r="A200" s="28">
        <v>7290000286921</v>
      </c>
      <c r="B200" s="29">
        <v>45813</v>
      </c>
      <c r="C200">
        <v>1.32245141760748</v>
      </c>
    </row>
    <row r="201" spans="1:3" x14ac:dyDescent="0.45">
      <c r="A201" s="28">
        <v>7290000288024</v>
      </c>
      <c r="B201" s="29">
        <v>45813</v>
      </c>
      <c r="C201">
        <v>4.2299322177998304</v>
      </c>
    </row>
    <row r="202" spans="1:3" x14ac:dyDescent="0.45">
      <c r="A202" s="28">
        <v>7290000288307</v>
      </c>
      <c r="B202" s="29">
        <v>45813</v>
      </c>
      <c r="C202">
        <v>1.21581453211719</v>
      </c>
    </row>
    <row r="203" spans="1:3" x14ac:dyDescent="0.45">
      <c r="A203" s="28">
        <v>7290000288659</v>
      </c>
      <c r="B203" s="29">
        <v>45813</v>
      </c>
      <c r="C203">
        <v>1.21378588921742</v>
      </c>
    </row>
    <row r="204" spans="1:3" x14ac:dyDescent="0.45">
      <c r="A204" s="28">
        <v>7290000292915</v>
      </c>
      <c r="B204" s="29">
        <v>45813</v>
      </c>
      <c r="C204">
        <v>1.9504898689889101</v>
      </c>
    </row>
    <row r="205" spans="1:3" x14ac:dyDescent="0.45">
      <c r="A205" s="28">
        <v>7290000294780</v>
      </c>
      <c r="B205" s="29">
        <v>45813</v>
      </c>
      <c r="C205">
        <v>4.1795488724362402</v>
      </c>
    </row>
    <row r="206" spans="1:3" x14ac:dyDescent="0.45">
      <c r="A206" s="28">
        <v>7290000295367</v>
      </c>
      <c r="B206" s="29">
        <v>45813</v>
      </c>
      <c r="C206">
        <v>1.7668677508136399</v>
      </c>
    </row>
    <row r="207" spans="1:3" x14ac:dyDescent="0.45">
      <c r="A207" s="28">
        <v>7290000295541</v>
      </c>
      <c r="B207" s="29">
        <v>45813</v>
      </c>
      <c r="C207">
        <v>1.21851255968635</v>
      </c>
    </row>
    <row r="208" spans="1:3" x14ac:dyDescent="0.45">
      <c r="A208" s="28">
        <v>7290001246610</v>
      </c>
      <c r="B208" s="29">
        <v>45813</v>
      </c>
      <c r="C208">
        <v>1.7734305948460101</v>
      </c>
    </row>
    <row r="209" spans="1:3" x14ac:dyDescent="0.45">
      <c r="A209" s="28">
        <v>7290005424700</v>
      </c>
      <c r="B209" s="29">
        <v>45813</v>
      </c>
      <c r="C209">
        <v>1.9776703530331701</v>
      </c>
    </row>
    <row r="210" spans="1:3" x14ac:dyDescent="0.45">
      <c r="A210" s="28">
        <v>7290005425110</v>
      </c>
      <c r="B210" s="29">
        <v>45813</v>
      </c>
      <c r="C210">
        <v>1.9040390407955901</v>
      </c>
    </row>
    <row r="211" spans="1:3" x14ac:dyDescent="0.45">
      <c r="A211" s="28">
        <v>7290005425196</v>
      </c>
      <c r="B211" s="29">
        <v>45813</v>
      </c>
      <c r="C211">
        <v>1.7610651523740299</v>
      </c>
    </row>
    <row r="212" spans="1:3" x14ac:dyDescent="0.45">
      <c r="A212" s="28">
        <v>7290012116025</v>
      </c>
      <c r="B212" s="29">
        <v>45813</v>
      </c>
      <c r="C212">
        <v>1.9664437397813599</v>
      </c>
    </row>
    <row r="213" spans="1:3" x14ac:dyDescent="0.45">
      <c r="A213" s="28">
        <v>7290012117534</v>
      </c>
      <c r="B213" s="29">
        <v>45813</v>
      </c>
      <c r="C213">
        <v>1.75882131398357</v>
      </c>
    </row>
    <row r="214" spans="1:3" x14ac:dyDescent="0.45">
      <c r="A214" s="28">
        <v>7290013268204</v>
      </c>
      <c r="B214" s="29">
        <v>45813</v>
      </c>
      <c r="C214">
        <v>1.2293883823729099</v>
      </c>
    </row>
    <row r="215" spans="1:3" x14ac:dyDescent="0.45">
      <c r="A215" s="28">
        <v>7290013268891</v>
      </c>
      <c r="B215" s="29">
        <v>45813</v>
      </c>
      <c r="C215">
        <v>1.7760616567918399</v>
      </c>
    </row>
    <row r="216" spans="1:3" x14ac:dyDescent="0.45">
      <c r="A216" s="28">
        <v>7290013269003</v>
      </c>
      <c r="B216" s="29">
        <v>45813</v>
      </c>
      <c r="C216">
        <v>1.7440432466008899</v>
      </c>
    </row>
    <row r="217" spans="1:3" x14ac:dyDescent="0.45">
      <c r="A217" s="28">
        <v>7290014397453</v>
      </c>
      <c r="B217" s="29">
        <v>45813</v>
      </c>
      <c r="C217">
        <v>1.77135818512659</v>
      </c>
    </row>
    <row r="218" spans="1:3" x14ac:dyDescent="0.45">
      <c r="A218" s="28">
        <v>7290019274483</v>
      </c>
      <c r="B218" s="29">
        <v>45813</v>
      </c>
      <c r="C218">
        <v>1.7626200868965001</v>
      </c>
    </row>
    <row r="219" spans="1:3" x14ac:dyDescent="0.45">
      <c r="A219" s="28">
        <v>7290019274490</v>
      </c>
      <c r="B219" s="29">
        <v>45813</v>
      </c>
      <c r="C219">
        <v>1.7518229228368201</v>
      </c>
    </row>
    <row r="220" spans="1:3" x14ac:dyDescent="0.45">
      <c r="A220" s="28">
        <v>7290019611325</v>
      </c>
      <c r="B220" s="29">
        <v>45813</v>
      </c>
      <c r="C220">
        <v>1.74307596287453</v>
      </c>
    </row>
    <row r="221" spans="1:3" x14ac:dyDescent="0.45">
      <c r="A221" s="28">
        <v>7290103702489</v>
      </c>
      <c r="B221" s="29">
        <v>45813</v>
      </c>
      <c r="C221">
        <v>4.1885631725278403</v>
      </c>
    </row>
    <row r="222" spans="1:3" x14ac:dyDescent="0.45">
      <c r="A222" s="28">
        <v>7290103703370</v>
      </c>
      <c r="B222" s="29">
        <v>45813</v>
      </c>
      <c r="C222">
        <v>4.2064366290760704</v>
      </c>
    </row>
    <row r="223" spans="1:3" x14ac:dyDescent="0.45">
      <c r="A223" s="28">
        <v>7290103704155</v>
      </c>
      <c r="B223" s="29">
        <v>45813</v>
      </c>
      <c r="C223">
        <v>4.1778722472194803</v>
      </c>
    </row>
    <row r="224" spans="1:3" x14ac:dyDescent="0.45">
      <c r="A224" s="28">
        <v>7290103704179</v>
      </c>
      <c r="B224" s="29">
        <v>45813</v>
      </c>
      <c r="C224">
        <v>4.2079251410531704</v>
      </c>
    </row>
    <row r="225" spans="1:3" x14ac:dyDescent="0.45">
      <c r="A225" s="28">
        <v>7290103704919</v>
      </c>
      <c r="B225" s="29">
        <v>45813</v>
      </c>
      <c r="C225">
        <v>4.1774663754573904</v>
      </c>
    </row>
    <row r="226" spans="1:3" x14ac:dyDescent="0.45">
      <c r="A226" s="28">
        <v>7290107280099</v>
      </c>
      <c r="B226" s="29">
        <v>45813</v>
      </c>
      <c r="C226">
        <v>1.2250064376612599</v>
      </c>
    </row>
    <row r="227" spans="1:3" x14ac:dyDescent="0.45">
      <c r="A227" s="28">
        <v>7290108351699</v>
      </c>
      <c r="B227" s="29">
        <v>45813</v>
      </c>
      <c r="C227">
        <v>1.97116295675054</v>
      </c>
    </row>
    <row r="228" spans="1:3" x14ac:dyDescent="0.45">
      <c r="A228" s="28">
        <v>7290108352702</v>
      </c>
      <c r="B228" s="29">
        <v>45813</v>
      </c>
      <c r="C228">
        <v>1.2089688741281599</v>
      </c>
    </row>
    <row r="229" spans="1:3" x14ac:dyDescent="0.45">
      <c r="A229" s="28">
        <v>7290108356298</v>
      </c>
      <c r="B229" s="29">
        <v>45813</v>
      </c>
      <c r="C229">
        <v>1.9436323437873599</v>
      </c>
    </row>
    <row r="230" spans="1:3" x14ac:dyDescent="0.45">
      <c r="A230" s="28">
        <v>7290108356700</v>
      </c>
      <c r="B230" s="29">
        <v>45813</v>
      </c>
      <c r="C230">
        <v>1.21813370837487</v>
      </c>
    </row>
    <row r="231" spans="1:3" x14ac:dyDescent="0.45">
      <c r="A231" s="28">
        <v>7290108356717</v>
      </c>
      <c r="B231" s="29">
        <v>45813</v>
      </c>
      <c r="C231">
        <v>1.92910692758131</v>
      </c>
    </row>
    <row r="232" spans="1:3" x14ac:dyDescent="0.45">
      <c r="A232" s="28">
        <v>7290108356724</v>
      </c>
      <c r="B232" s="29">
        <v>45813</v>
      </c>
      <c r="C232">
        <v>1.9325439463259</v>
      </c>
    </row>
    <row r="233" spans="1:3" x14ac:dyDescent="0.45">
      <c r="A233" s="28">
        <v>7290108357240</v>
      </c>
      <c r="B233" s="29">
        <v>45813</v>
      </c>
      <c r="C233">
        <v>1.7640132493893299</v>
      </c>
    </row>
    <row r="234" spans="1:3" x14ac:dyDescent="0.45">
      <c r="A234" s="28">
        <v>7290108357288</v>
      </c>
      <c r="B234" s="29">
        <v>45813</v>
      </c>
      <c r="C234">
        <v>4.19183204759499</v>
      </c>
    </row>
    <row r="235" spans="1:3" x14ac:dyDescent="0.45">
      <c r="A235" s="28">
        <v>7290108357844</v>
      </c>
      <c r="B235" s="29">
        <v>45813</v>
      </c>
      <c r="C235">
        <v>1.95795043874387</v>
      </c>
    </row>
    <row r="236" spans="1:3" x14ac:dyDescent="0.45">
      <c r="A236" s="28">
        <v>7290108359077</v>
      </c>
      <c r="B236" s="29">
        <v>45813</v>
      </c>
      <c r="C236">
        <v>1.2098983478365499</v>
      </c>
    </row>
    <row r="237" spans="1:3" x14ac:dyDescent="0.45">
      <c r="A237" s="28">
        <v>7290108359176</v>
      </c>
      <c r="B237" s="29">
        <v>45813</v>
      </c>
      <c r="C237">
        <v>1.2151544318971099</v>
      </c>
    </row>
    <row r="238" spans="1:3" x14ac:dyDescent="0.45">
      <c r="A238" s="28">
        <v>7290108359190</v>
      </c>
      <c r="B238" s="29">
        <v>45813</v>
      </c>
      <c r="C238">
        <v>1.2130514785267501</v>
      </c>
    </row>
    <row r="239" spans="1:3" x14ac:dyDescent="0.45">
      <c r="A239" s="28">
        <v>8001090184375</v>
      </c>
      <c r="B239" s="29">
        <v>45813</v>
      </c>
      <c r="C239">
        <v>1.42033292869081</v>
      </c>
    </row>
    <row r="240" spans="1:3" x14ac:dyDescent="0.45">
      <c r="A240" s="28">
        <v>8001090184412</v>
      </c>
      <c r="B240" s="29">
        <v>45813</v>
      </c>
      <c r="C240">
        <v>4.1544202158170798</v>
      </c>
    </row>
    <row r="241" spans="1:3" x14ac:dyDescent="0.45">
      <c r="A241" s="28">
        <v>8001841625362</v>
      </c>
      <c r="B241" s="29">
        <v>45813</v>
      </c>
      <c r="C241">
        <v>1.7719170835956799</v>
      </c>
    </row>
    <row r="242" spans="1:3" x14ac:dyDescent="0.45">
      <c r="A242" s="28">
        <v>8001841893990</v>
      </c>
      <c r="B242" s="29">
        <v>45813</v>
      </c>
      <c r="C242">
        <v>1.2150334158454299</v>
      </c>
    </row>
    <row r="243" spans="1:3" x14ac:dyDescent="0.45">
      <c r="A243" s="28">
        <v>8006540429327</v>
      </c>
      <c r="B243" s="29">
        <v>45813</v>
      </c>
      <c r="C243">
        <v>4.1541784708175298</v>
      </c>
    </row>
    <row r="244" spans="1:3" x14ac:dyDescent="0.45">
      <c r="A244" s="28">
        <v>8700216163811</v>
      </c>
      <c r="B244" s="29">
        <v>45813</v>
      </c>
      <c r="C244">
        <v>4.1449574418996704</v>
      </c>
    </row>
    <row r="245" spans="1:3" x14ac:dyDescent="0.45">
      <c r="A245" s="28">
        <v>8700216236034</v>
      </c>
      <c r="B245" s="29">
        <v>45813</v>
      </c>
      <c r="C245">
        <v>1.4404991827079701</v>
      </c>
    </row>
    <row r="246" spans="1:3" x14ac:dyDescent="0.45">
      <c r="A246" s="28">
        <v>8700216236751</v>
      </c>
      <c r="B246" s="29">
        <v>45813</v>
      </c>
      <c r="C246">
        <v>1.7579145716903299</v>
      </c>
    </row>
    <row r="247" spans="1:3" x14ac:dyDescent="0.45">
      <c r="A247" s="28">
        <v>4084500088917</v>
      </c>
      <c r="B247" s="29">
        <v>45814</v>
      </c>
      <c r="C247">
        <v>8.2979049568489298</v>
      </c>
    </row>
    <row r="248" spans="1:3" x14ac:dyDescent="0.45">
      <c r="A248" s="28">
        <v>4084500853836</v>
      </c>
      <c r="B248" s="29">
        <v>45814</v>
      </c>
      <c r="C248">
        <v>8.0833956024541394</v>
      </c>
    </row>
    <row r="249" spans="1:3" x14ac:dyDescent="0.45">
      <c r="A249" s="28">
        <v>7290000286921</v>
      </c>
      <c r="B249" s="29">
        <v>45814</v>
      </c>
      <c r="C249">
        <v>3.51796284319314</v>
      </c>
    </row>
    <row r="250" spans="1:3" x14ac:dyDescent="0.45">
      <c r="A250" s="28">
        <v>7290000288024</v>
      </c>
      <c r="B250" s="29">
        <v>45814</v>
      </c>
      <c r="C250">
        <v>8.2867921030624192</v>
      </c>
    </row>
    <row r="251" spans="1:3" x14ac:dyDescent="0.45">
      <c r="A251" s="28">
        <v>7290000288307</v>
      </c>
      <c r="B251" s="29">
        <v>45814</v>
      </c>
      <c r="C251">
        <v>3.3923182140065</v>
      </c>
    </row>
    <row r="252" spans="1:3" x14ac:dyDescent="0.45">
      <c r="A252" s="28">
        <v>7290000288659</v>
      </c>
      <c r="B252" s="29">
        <v>45814</v>
      </c>
      <c r="C252">
        <v>3.3932693933139699</v>
      </c>
    </row>
    <row r="253" spans="1:3" x14ac:dyDescent="0.45">
      <c r="A253" s="28">
        <v>7290000292915</v>
      </c>
      <c r="B253" s="29">
        <v>45814</v>
      </c>
      <c r="C253">
        <v>4.1311326037876501</v>
      </c>
    </row>
    <row r="254" spans="1:3" x14ac:dyDescent="0.45">
      <c r="A254" s="28">
        <v>7290000294780</v>
      </c>
      <c r="B254" s="29">
        <v>45814</v>
      </c>
      <c r="C254">
        <v>8.2513120346081692</v>
      </c>
    </row>
    <row r="255" spans="1:3" x14ac:dyDescent="0.45">
      <c r="A255" s="28">
        <v>7290000295367</v>
      </c>
      <c r="B255" s="29">
        <v>45814</v>
      </c>
      <c r="C255">
        <v>3.5574926139802301</v>
      </c>
    </row>
    <row r="256" spans="1:3" x14ac:dyDescent="0.45">
      <c r="A256" s="28">
        <v>7290000295541</v>
      </c>
      <c r="B256" s="29">
        <v>45814</v>
      </c>
      <c r="C256">
        <v>3.3883908770184101</v>
      </c>
    </row>
    <row r="257" spans="1:3" x14ac:dyDescent="0.45">
      <c r="A257" s="28">
        <v>7290001246610</v>
      </c>
      <c r="B257" s="29">
        <v>45814</v>
      </c>
      <c r="C257">
        <v>3.6392969113331999</v>
      </c>
    </row>
    <row r="258" spans="1:3" x14ac:dyDescent="0.45">
      <c r="A258" s="28">
        <v>7290005424700</v>
      </c>
      <c r="B258" s="29">
        <v>45814</v>
      </c>
      <c r="C258">
        <v>4.2234796181562997</v>
      </c>
    </row>
    <row r="259" spans="1:3" x14ac:dyDescent="0.45">
      <c r="A259" s="28">
        <v>7290005425110</v>
      </c>
      <c r="B259" s="29">
        <v>45814</v>
      </c>
      <c r="C259">
        <v>4.2632879960233296</v>
      </c>
    </row>
    <row r="260" spans="1:3" x14ac:dyDescent="0.45">
      <c r="A260" s="28">
        <v>7290005425196</v>
      </c>
      <c r="B260" s="29">
        <v>45814</v>
      </c>
      <c r="C260">
        <v>3.6002980636942699</v>
      </c>
    </row>
    <row r="261" spans="1:3" x14ac:dyDescent="0.45">
      <c r="A261" s="28">
        <v>7290012116025</v>
      </c>
      <c r="B261" s="29">
        <v>45814</v>
      </c>
      <c r="C261">
        <v>4.2836034183324099</v>
      </c>
    </row>
    <row r="262" spans="1:3" x14ac:dyDescent="0.45">
      <c r="A262" s="28">
        <v>7290012117534</v>
      </c>
      <c r="B262" s="29">
        <v>45814</v>
      </c>
      <c r="C262">
        <v>3.59435618256536</v>
      </c>
    </row>
    <row r="263" spans="1:3" x14ac:dyDescent="0.45">
      <c r="A263" s="28">
        <v>7290013268204</v>
      </c>
      <c r="B263" s="29">
        <v>45814</v>
      </c>
      <c r="C263">
        <v>3.3681682017627601</v>
      </c>
    </row>
    <row r="264" spans="1:3" x14ac:dyDescent="0.45">
      <c r="A264" s="28">
        <v>7290013268891</v>
      </c>
      <c r="B264" s="29">
        <v>45814</v>
      </c>
      <c r="C264">
        <v>3.5799595147616499</v>
      </c>
    </row>
    <row r="265" spans="1:3" x14ac:dyDescent="0.45">
      <c r="A265" s="28">
        <v>7290013269003</v>
      </c>
      <c r="B265" s="29">
        <v>45814</v>
      </c>
      <c r="C265">
        <v>3.5799204300558598</v>
      </c>
    </row>
    <row r="266" spans="1:3" x14ac:dyDescent="0.45">
      <c r="A266" s="28">
        <v>7290014397453</v>
      </c>
      <c r="B266" s="29">
        <v>45814</v>
      </c>
      <c r="C266">
        <v>3.6116262628589801</v>
      </c>
    </row>
    <row r="267" spans="1:3" x14ac:dyDescent="0.45">
      <c r="A267" s="28">
        <v>7290019274483</v>
      </c>
      <c r="B267" s="29">
        <v>45814</v>
      </c>
      <c r="C267">
        <v>3.6085748993404199</v>
      </c>
    </row>
    <row r="268" spans="1:3" x14ac:dyDescent="0.45">
      <c r="A268" s="28">
        <v>7290019274490</v>
      </c>
      <c r="B268" s="29">
        <v>45814</v>
      </c>
      <c r="C268">
        <v>3.6625690464774001</v>
      </c>
    </row>
    <row r="269" spans="1:3" x14ac:dyDescent="0.45">
      <c r="A269" s="28">
        <v>7290019611325</v>
      </c>
      <c r="B269" s="29">
        <v>45814</v>
      </c>
      <c r="C269">
        <v>3.5575953108992802</v>
      </c>
    </row>
    <row r="270" spans="1:3" x14ac:dyDescent="0.45">
      <c r="A270" s="28">
        <v>7290103702489</v>
      </c>
      <c r="B270" s="29">
        <v>45814</v>
      </c>
      <c r="C270">
        <v>8.2920317499110894</v>
      </c>
    </row>
    <row r="271" spans="1:3" x14ac:dyDescent="0.45">
      <c r="A271" s="28">
        <v>7290103703370</v>
      </c>
      <c r="B271" s="29">
        <v>45814</v>
      </c>
      <c r="C271">
        <v>8.1137730696634005</v>
      </c>
    </row>
    <row r="272" spans="1:3" x14ac:dyDescent="0.45">
      <c r="A272" s="28">
        <v>7290103704155</v>
      </c>
      <c r="B272" s="29">
        <v>45814</v>
      </c>
      <c r="C272">
        <v>8.32834063804723</v>
      </c>
    </row>
    <row r="273" spans="1:3" x14ac:dyDescent="0.45">
      <c r="A273" s="28">
        <v>7290103704179</v>
      </c>
      <c r="B273" s="29">
        <v>45814</v>
      </c>
      <c r="C273">
        <v>8.3006159083214897</v>
      </c>
    </row>
    <row r="274" spans="1:3" x14ac:dyDescent="0.45">
      <c r="A274" s="28">
        <v>7290103704919</v>
      </c>
      <c r="B274" s="29">
        <v>45814</v>
      </c>
      <c r="C274">
        <v>8.1244069410553692</v>
      </c>
    </row>
    <row r="275" spans="1:3" x14ac:dyDescent="0.45">
      <c r="A275" s="28">
        <v>7290107280099</v>
      </c>
      <c r="B275" s="29">
        <v>45814</v>
      </c>
      <c r="C275">
        <v>3.3639732367130502</v>
      </c>
    </row>
    <row r="276" spans="1:3" x14ac:dyDescent="0.45">
      <c r="A276" s="28">
        <v>7290108351699</v>
      </c>
      <c r="B276" s="29">
        <v>45814</v>
      </c>
      <c r="C276">
        <v>4.0946443871602698</v>
      </c>
    </row>
    <row r="277" spans="1:3" x14ac:dyDescent="0.45">
      <c r="A277" s="28">
        <v>7290108352702</v>
      </c>
      <c r="B277" s="29">
        <v>45814</v>
      </c>
      <c r="C277">
        <v>3.3749989510768499</v>
      </c>
    </row>
    <row r="278" spans="1:3" x14ac:dyDescent="0.45">
      <c r="A278" s="28">
        <v>7290108356298</v>
      </c>
      <c r="B278" s="29">
        <v>45814</v>
      </c>
      <c r="C278">
        <v>4.2385329162947398</v>
      </c>
    </row>
    <row r="279" spans="1:3" x14ac:dyDescent="0.45">
      <c r="A279" s="28">
        <v>7290108356700</v>
      </c>
      <c r="B279" s="29">
        <v>45814</v>
      </c>
      <c r="C279">
        <v>3.3962844637354799</v>
      </c>
    </row>
    <row r="280" spans="1:3" x14ac:dyDescent="0.45">
      <c r="A280" s="28">
        <v>7290108356717</v>
      </c>
      <c r="B280" s="29">
        <v>45814</v>
      </c>
      <c r="C280">
        <v>3.7718560308865601</v>
      </c>
    </row>
    <row r="281" spans="1:3" x14ac:dyDescent="0.45">
      <c r="A281" s="28">
        <v>7290108356724</v>
      </c>
      <c r="B281" s="29">
        <v>45814</v>
      </c>
      <c r="C281">
        <v>4.2393640728602202</v>
      </c>
    </row>
    <row r="282" spans="1:3" x14ac:dyDescent="0.45">
      <c r="A282" s="28">
        <v>7290108357240</v>
      </c>
      <c r="B282" s="29">
        <v>45814</v>
      </c>
      <c r="C282">
        <v>3.5300523396965602</v>
      </c>
    </row>
    <row r="283" spans="1:3" x14ac:dyDescent="0.45">
      <c r="A283" s="28">
        <v>7290108357288</v>
      </c>
      <c r="B283" s="29">
        <v>45814</v>
      </c>
      <c r="C283">
        <v>8.2017601333818995</v>
      </c>
    </row>
    <row r="284" spans="1:3" x14ac:dyDescent="0.45">
      <c r="A284" s="28">
        <v>7290108357844</v>
      </c>
      <c r="B284" s="29">
        <v>45814</v>
      </c>
      <c r="C284">
        <v>4.1611807203707096</v>
      </c>
    </row>
    <row r="285" spans="1:3" x14ac:dyDescent="0.45">
      <c r="A285" s="28">
        <v>7290108359077</v>
      </c>
      <c r="B285" s="29">
        <v>45814</v>
      </c>
      <c r="C285">
        <v>3.3677997197405598</v>
      </c>
    </row>
    <row r="286" spans="1:3" x14ac:dyDescent="0.45">
      <c r="A286" s="28">
        <v>7290108359176</v>
      </c>
      <c r="B286" s="29">
        <v>45814</v>
      </c>
      <c r="C286">
        <v>3.38167605823981</v>
      </c>
    </row>
    <row r="287" spans="1:3" x14ac:dyDescent="0.45">
      <c r="A287" s="28">
        <v>7290108359190</v>
      </c>
      <c r="B287" s="29">
        <v>45814</v>
      </c>
      <c r="C287">
        <v>3.38504409980081</v>
      </c>
    </row>
    <row r="288" spans="1:3" x14ac:dyDescent="0.45">
      <c r="A288" s="28">
        <v>8001090184375</v>
      </c>
      <c r="B288" s="29">
        <v>45814</v>
      </c>
      <c r="C288">
        <v>3.4444303084347401</v>
      </c>
    </row>
    <row r="289" spans="1:3" x14ac:dyDescent="0.45">
      <c r="A289" s="28">
        <v>8001090184412</v>
      </c>
      <c r="B289" s="29">
        <v>45814</v>
      </c>
      <c r="C289">
        <v>8.1941449313571404</v>
      </c>
    </row>
    <row r="290" spans="1:3" x14ac:dyDescent="0.45">
      <c r="A290" s="28">
        <v>8001841625362</v>
      </c>
      <c r="B290" s="29">
        <v>45814</v>
      </c>
      <c r="C290">
        <v>3.6477774735697199</v>
      </c>
    </row>
    <row r="291" spans="1:3" x14ac:dyDescent="0.45">
      <c r="A291" s="28">
        <v>8001841893990</v>
      </c>
      <c r="B291" s="29">
        <v>45814</v>
      </c>
      <c r="C291">
        <v>3.3596518899719898</v>
      </c>
    </row>
    <row r="292" spans="1:3" x14ac:dyDescent="0.45">
      <c r="A292" s="28">
        <v>8006540429327</v>
      </c>
      <c r="B292" s="29">
        <v>45814</v>
      </c>
      <c r="C292">
        <v>8.2551510781061399</v>
      </c>
    </row>
    <row r="293" spans="1:3" x14ac:dyDescent="0.45">
      <c r="A293" s="28">
        <v>8700216163811</v>
      </c>
      <c r="B293" s="29">
        <v>45814</v>
      </c>
      <c r="C293">
        <v>8.3322349266486295</v>
      </c>
    </row>
    <row r="294" spans="1:3" x14ac:dyDescent="0.45">
      <c r="A294" s="28">
        <v>8700216236034</v>
      </c>
      <c r="B294" s="29">
        <v>45814</v>
      </c>
      <c r="C294">
        <v>3.5013011553483402</v>
      </c>
    </row>
    <row r="295" spans="1:3" x14ac:dyDescent="0.45">
      <c r="A295" s="28">
        <v>8700216236751</v>
      </c>
      <c r="B295" s="29">
        <v>45814</v>
      </c>
      <c r="C295">
        <v>3.6469401290393302</v>
      </c>
    </row>
    <row r="296" spans="1:3" x14ac:dyDescent="0.45">
      <c r="A296" s="28">
        <v>4084500088917</v>
      </c>
      <c r="B296" s="29">
        <v>45815</v>
      </c>
      <c r="C296">
        <v>8.2979049568489298</v>
      </c>
    </row>
    <row r="297" spans="1:3" x14ac:dyDescent="0.45">
      <c r="A297" s="28">
        <v>4084500853836</v>
      </c>
      <c r="B297" s="29">
        <v>45815</v>
      </c>
      <c r="C297">
        <v>8.0833956024541394</v>
      </c>
    </row>
    <row r="298" spans="1:3" x14ac:dyDescent="0.45">
      <c r="A298" s="28">
        <v>7290000286921</v>
      </c>
      <c r="B298" s="29">
        <v>45815</v>
      </c>
      <c r="C298">
        <v>3.51796284319314</v>
      </c>
    </row>
    <row r="299" spans="1:3" x14ac:dyDescent="0.45">
      <c r="A299" s="28">
        <v>7290000288024</v>
      </c>
      <c r="B299" s="29">
        <v>45815</v>
      </c>
      <c r="C299">
        <v>8.2867921030624192</v>
      </c>
    </row>
    <row r="300" spans="1:3" x14ac:dyDescent="0.45">
      <c r="A300" s="28">
        <v>7290000288307</v>
      </c>
      <c r="B300" s="29">
        <v>45815</v>
      </c>
      <c r="C300">
        <v>3.3923182140065</v>
      </c>
    </row>
    <row r="301" spans="1:3" x14ac:dyDescent="0.45">
      <c r="A301" s="28">
        <v>7290000288659</v>
      </c>
      <c r="B301" s="29">
        <v>45815</v>
      </c>
      <c r="C301">
        <v>3.3932693933139699</v>
      </c>
    </row>
    <row r="302" spans="1:3" x14ac:dyDescent="0.45">
      <c r="A302" s="28">
        <v>7290000292915</v>
      </c>
      <c r="B302" s="29">
        <v>45815</v>
      </c>
      <c r="C302">
        <v>4.1311326037876501</v>
      </c>
    </row>
    <row r="303" spans="1:3" x14ac:dyDescent="0.45">
      <c r="A303" s="28">
        <v>7290000294780</v>
      </c>
      <c r="B303" s="29">
        <v>45815</v>
      </c>
      <c r="C303">
        <v>8.2513120346081692</v>
      </c>
    </row>
    <row r="304" spans="1:3" x14ac:dyDescent="0.45">
      <c r="A304" s="28">
        <v>7290000295367</v>
      </c>
      <c r="B304" s="29">
        <v>45815</v>
      </c>
      <c r="C304">
        <v>3.5574926139802301</v>
      </c>
    </row>
    <row r="305" spans="1:3" x14ac:dyDescent="0.45">
      <c r="A305" s="28">
        <v>7290000295541</v>
      </c>
      <c r="B305" s="29">
        <v>45815</v>
      </c>
      <c r="C305">
        <v>3.3883908770184101</v>
      </c>
    </row>
    <row r="306" spans="1:3" x14ac:dyDescent="0.45">
      <c r="A306" s="28">
        <v>7290001246610</v>
      </c>
      <c r="B306" s="29">
        <v>45815</v>
      </c>
      <c r="C306">
        <v>3.6392969113331999</v>
      </c>
    </row>
    <row r="307" spans="1:3" x14ac:dyDescent="0.45">
      <c r="A307" s="28">
        <v>7290005424700</v>
      </c>
      <c r="B307" s="29">
        <v>45815</v>
      </c>
      <c r="C307">
        <v>4.2234796181562997</v>
      </c>
    </row>
    <row r="308" spans="1:3" x14ac:dyDescent="0.45">
      <c r="A308" s="28">
        <v>7290005425110</v>
      </c>
      <c r="B308" s="29">
        <v>45815</v>
      </c>
      <c r="C308">
        <v>4.2632879960233296</v>
      </c>
    </row>
    <row r="309" spans="1:3" x14ac:dyDescent="0.45">
      <c r="A309" s="28">
        <v>7290005425196</v>
      </c>
      <c r="B309" s="29">
        <v>45815</v>
      </c>
      <c r="C309">
        <v>3.6002980636942699</v>
      </c>
    </row>
    <row r="310" spans="1:3" x14ac:dyDescent="0.45">
      <c r="A310" s="28">
        <v>7290012116025</v>
      </c>
      <c r="B310" s="29">
        <v>45815</v>
      </c>
      <c r="C310">
        <v>4.2836034183324099</v>
      </c>
    </row>
    <row r="311" spans="1:3" x14ac:dyDescent="0.45">
      <c r="A311" s="28">
        <v>7290012117534</v>
      </c>
      <c r="B311" s="29">
        <v>45815</v>
      </c>
      <c r="C311">
        <v>3.59435618256536</v>
      </c>
    </row>
    <row r="312" spans="1:3" x14ac:dyDescent="0.45">
      <c r="A312" s="28">
        <v>7290013268204</v>
      </c>
      <c r="B312" s="29">
        <v>45815</v>
      </c>
      <c r="C312">
        <v>3.3681682017627601</v>
      </c>
    </row>
    <row r="313" spans="1:3" x14ac:dyDescent="0.45">
      <c r="A313" s="28">
        <v>7290013268891</v>
      </c>
      <c r="B313" s="29">
        <v>45815</v>
      </c>
      <c r="C313">
        <v>3.5799595147616499</v>
      </c>
    </row>
    <row r="314" spans="1:3" x14ac:dyDescent="0.45">
      <c r="A314" s="28">
        <v>7290013269003</v>
      </c>
      <c r="B314" s="29">
        <v>45815</v>
      </c>
      <c r="C314">
        <v>3.5799204300558598</v>
      </c>
    </row>
    <row r="315" spans="1:3" x14ac:dyDescent="0.45">
      <c r="A315" s="28">
        <v>7290014397453</v>
      </c>
      <c r="B315" s="29">
        <v>45815</v>
      </c>
      <c r="C315">
        <v>3.6116262628589801</v>
      </c>
    </row>
    <row r="316" spans="1:3" x14ac:dyDescent="0.45">
      <c r="A316" s="28">
        <v>7290019274483</v>
      </c>
      <c r="B316" s="29">
        <v>45815</v>
      </c>
      <c r="C316">
        <v>3.6085748993404199</v>
      </c>
    </row>
    <row r="317" spans="1:3" x14ac:dyDescent="0.45">
      <c r="A317" s="28">
        <v>7290019274490</v>
      </c>
      <c r="B317" s="29">
        <v>45815</v>
      </c>
      <c r="C317">
        <v>3.6625690464774001</v>
      </c>
    </row>
    <row r="318" spans="1:3" x14ac:dyDescent="0.45">
      <c r="A318" s="28">
        <v>7290019611325</v>
      </c>
      <c r="B318" s="29">
        <v>45815</v>
      </c>
      <c r="C318">
        <v>3.5575953108992802</v>
      </c>
    </row>
    <row r="319" spans="1:3" x14ac:dyDescent="0.45">
      <c r="A319" s="28">
        <v>7290103702489</v>
      </c>
      <c r="B319" s="29">
        <v>45815</v>
      </c>
      <c r="C319">
        <v>8.2920317499110894</v>
      </c>
    </row>
    <row r="320" spans="1:3" x14ac:dyDescent="0.45">
      <c r="A320" s="28">
        <v>7290103703370</v>
      </c>
      <c r="B320" s="29">
        <v>45815</v>
      </c>
      <c r="C320">
        <v>8.1137730696634005</v>
      </c>
    </row>
    <row r="321" spans="1:3" x14ac:dyDescent="0.45">
      <c r="A321" s="28">
        <v>7290103704155</v>
      </c>
      <c r="B321" s="29">
        <v>45815</v>
      </c>
      <c r="C321">
        <v>8.32834063804723</v>
      </c>
    </row>
    <row r="322" spans="1:3" x14ac:dyDescent="0.45">
      <c r="A322" s="28">
        <v>7290103704179</v>
      </c>
      <c r="B322" s="29">
        <v>45815</v>
      </c>
      <c r="C322">
        <v>8.3006159083214897</v>
      </c>
    </row>
    <row r="323" spans="1:3" x14ac:dyDescent="0.45">
      <c r="A323" s="28">
        <v>7290103704919</v>
      </c>
      <c r="B323" s="29">
        <v>45815</v>
      </c>
      <c r="C323">
        <v>8.1244069410553692</v>
      </c>
    </row>
    <row r="324" spans="1:3" x14ac:dyDescent="0.45">
      <c r="A324" s="28">
        <v>7290107280099</v>
      </c>
      <c r="B324" s="29">
        <v>45815</v>
      </c>
      <c r="C324">
        <v>3.3639732367130502</v>
      </c>
    </row>
    <row r="325" spans="1:3" x14ac:dyDescent="0.45">
      <c r="A325" s="28">
        <v>7290108351699</v>
      </c>
      <c r="B325" s="29">
        <v>45815</v>
      </c>
      <c r="C325">
        <v>4.0946443871602698</v>
      </c>
    </row>
    <row r="326" spans="1:3" x14ac:dyDescent="0.45">
      <c r="A326" s="28">
        <v>7290108352702</v>
      </c>
      <c r="B326" s="29">
        <v>45815</v>
      </c>
      <c r="C326">
        <v>3.3749989510768499</v>
      </c>
    </row>
    <row r="327" spans="1:3" x14ac:dyDescent="0.45">
      <c r="A327" s="28">
        <v>7290108356298</v>
      </c>
      <c r="B327" s="29">
        <v>45815</v>
      </c>
      <c r="C327">
        <v>4.2385329162947398</v>
      </c>
    </row>
    <row r="328" spans="1:3" x14ac:dyDescent="0.45">
      <c r="A328" s="28">
        <v>7290108356700</v>
      </c>
      <c r="B328" s="29">
        <v>45815</v>
      </c>
      <c r="C328">
        <v>3.3962844637354799</v>
      </c>
    </row>
    <row r="329" spans="1:3" x14ac:dyDescent="0.45">
      <c r="A329" s="28">
        <v>7290108356717</v>
      </c>
      <c r="B329" s="29">
        <v>45815</v>
      </c>
      <c r="C329">
        <v>3.7718560308865601</v>
      </c>
    </row>
    <row r="330" spans="1:3" x14ac:dyDescent="0.45">
      <c r="A330" s="28">
        <v>7290108356724</v>
      </c>
      <c r="B330" s="29">
        <v>45815</v>
      </c>
      <c r="C330">
        <v>4.2393640728602202</v>
      </c>
    </row>
    <row r="331" spans="1:3" x14ac:dyDescent="0.45">
      <c r="A331" s="28">
        <v>7290108357240</v>
      </c>
      <c r="B331" s="29">
        <v>45815</v>
      </c>
      <c r="C331">
        <v>3.5300523396965602</v>
      </c>
    </row>
    <row r="332" spans="1:3" x14ac:dyDescent="0.45">
      <c r="A332" s="28">
        <v>7290108357288</v>
      </c>
      <c r="B332" s="29">
        <v>45815</v>
      </c>
      <c r="C332">
        <v>8.2017601333818995</v>
      </c>
    </row>
    <row r="333" spans="1:3" x14ac:dyDescent="0.45">
      <c r="A333" s="28">
        <v>7290108357844</v>
      </c>
      <c r="B333" s="29">
        <v>45815</v>
      </c>
      <c r="C333">
        <v>4.1611807203707096</v>
      </c>
    </row>
    <row r="334" spans="1:3" x14ac:dyDescent="0.45">
      <c r="A334" s="28">
        <v>7290108359077</v>
      </c>
      <c r="B334" s="29">
        <v>45815</v>
      </c>
      <c r="C334">
        <v>3.3677997197405598</v>
      </c>
    </row>
    <row r="335" spans="1:3" x14ac:dyDescent="0.45">
      <c r="A335" s="28">
        <v>7290108359176</v>
      </c>
      <c r="B335" s="29">
        <v>45815</v>
      </c>
      <c r="C335">
        <v>3.38167605823981</v>
      </c>
    </row>
    <row r="336" spans="1:3" x14ac:dyDescent="0.45">
      <c r="A336" s="28">
        <v>7290108359190</v>
      </c>
      <c r="B336" s="29">
        <v>45815</v>
      </c>
      <c r="C336">
        <v>3.38504409980081</v>
      </c>
    </row>
    <row r="337" spans="1:3" x14ac:dyDescent="0.45">
      <c r="A337" s="28">
        <v>8001090184375</v>
      </c>
      <c r="B337" s="29">
        <v>45815</v>
      </c>
      <c r="C337">
        <v>3.4444303084347401</v>
      </c>
    </row>
    <row r="338" spans="1:3" x14ac:dyDescent="0.45">
      <c r="A338" s="28">
        <v>8001090184412</v>
      </c>
      <c r="B338" s="29">
        <v>45815</v>
      </c>
      <c r="C338">
        <v>8.1941449313571404</v>
      </c>
    </row>
    <row r="339" spans="1:3" x14ac:dyDescent="0.45">
      <c r="A339" s="28">
        <v>8001841625362</v>
      </c>
      <c r="B339" s="29">
        <v>45815</v>
      </c>
      <c r="C339">
        <v>3.6477774735697199</v>
      </c>
    </row>
    <row r="340" spans="1:3" x14ac:dyDescent="0.45">
      <c r="A340" s="28">
        <v>8001841893990</v>
      </c>
      <c r="B340" s="29">
        <v>45815</v>
      </c>
      <c r="C340">
        <v>3.3596518899719898</v>
      </c>
    </row>
    <row r="341" spans="1:3" x14ac:dyDescent="0.45">
      <c r="A341" s="28">
        <v>8006540429327</v>
      </c>
      <c r="B341" s="29">
        <v>45815</v>
      </c>
      <c r="C341">
        <v>8.2551510781061399</v>
      </c>
    </row>
    <row r="342" spans="1:3" x14ac:dyDescent="0.45">
      <c r="A342" s="28">
        <v>8700216163811</v>
      </c>
      <c r="B342" s="29">
        <v>45815</v>
      </c>
      <c r="C342">
        <v>8.3322349266486295</v>
      </c>
    </row>
    <row r="343" spans="1:3" x14ac:dyDescent="0.45">
      <c r="A343" s="28">
        <v>8700216236034</v>
      </c>
      <c r="B343" s="29">
        <v>45815</v>
      </c>
      <c r="C343">
        <v>3.5013011553483402</v>
      </c>
    </row>
    <row r="344" spans="1:3" x14ac:dyDescent="0.45">
      <c r="A344" s="28">
        <v>8700216236751</v>
      </c>
      <c r="B344" s="29">
        <v>45815</v>
      </c>
      <c r="C344">
        <v>3.6469401290393302</v>
      </c>
    </row>
    <row r="345" spans="1:3" x14ac:dyDescent="0.45">
      <c r="A345" s="28">
        <v>4084500088917</v>
      </c>
      <c r="B345" s="29">
        <v>45816</v>
      </c>
      <c r="C345">
        <v>4.2005430397281902</v>
      </c>
    </row>
    <row r="346" spans="1:3" x14ac:dyDescent="0.45">
      <c r="A346" s="28">
        <v>4084500853836</v>
      </c>
      <c r="B346" s="29">
        <v>45816</v>
      </c>
      <c r="C346">
        <v>4.19110906717916</v>
      </c>
    </row>
    <row r="347" spans="1:3" x14ac:dyDescent="0.45">
      <c r="A347" s="28">
        <v>7290000286921</v>
      </c>
      <c r="B347" s="29">
        <v>45816</v>
      </c>
      <c r="C347">
        <v>1.32245141760748</v>
      </c>
    </row>
    <row r="348" spans="1:3" x14ac:dyDescent="0.45">
      <c r="A348" s="28">
        <v>7290000288024</v>
      </c>
      <c r="B348" s="29">
        <v>45816</v>
      </c>
      <c r="C348">
        <v>4.2299322177998304</v>
      </c>
    </row>
    <row r="349" spans="1:3" x14ac:dyDescent="0.45">
      <c r="A349" s="28">
        <v>7290000288307</v>
      </c>
      <c r="B349" s="29">
        <v>45816</v>
      </c>
      <c r="C349">
        <v>1.21581453211719</v>
      </c>
    </row>
    <row r="350" spans="1:3" x14ac:dyDescent="0.45">
      <c r="A350" s="28">
        <v>7290000288659</v>
      </c>
      <c r="B350" s="29">
        <v>45816</v>
      </c>
      <c r="C350">
        <v>1.21378588921742</v>
      </c>
    </row>
    <row r="351" spans="1:3" x14ac:dyDescent="0.45">
      <c r="A351" s="28">
        <v>7290000292915</v>
      </c>
      <c r="B351" s="29">
        <v>45816</v>
      </c>
      <c r="C351">
        <v>1.9504898689889101</v>
      </c>
    </row>
    <row r="352" spans="1:3" x14ac:dyDescent="0.45">
      <c r="A352" s="28">
        <v>7290000294780</v>
      </c>
      <c r="B352" s="29">
        <v>45816</v>
      </c>
      <c r="C352">
        <v>4.1795488724362402</v>
      </c>
    </row>
    <row r="353" spans="1:3" x14ac:dyDescent="0.45">
      <c r="A353" s="28">
        <v>7290000295367</v>
      </c>
      <c r="B353" s="29">
        <v>45816</v>
      </c>
      <c r="C353">
        <v>1.7668677508136399</v>
      </c>
    </row>
    <row r="354" spans="1:3" x14ac:dyDescent="0.45">
      <c r="A354" s="28">
        <v>7290000295541</v>
      </c>
      <c r="B354" s="29">
        <v>45816</v>
      </c>
      <c r="C354">
        <v>1.21851255968635</v>
      </c>
    </row>
    <row r="355" spans="1:3" x14ac:dyDescent="0.45">
      <c r="A355" s="28">
        <v>7290001246610</v>
      </c>
      <c r="B355" s="29">
        <v>45816</v>
      </c>
      <c r="C355">
        <v>1.7734305948460101</v>
      </c>
    </row>
    <row r="356" spans="1:3" x14ac:dyDescent="0.45">
      <c r="A356" s="28">
        <v>7290005424700</v>
      </c>
      <c r="B356" s="29">
        <v>45816</v>
      </c>
      <c r="C356">
        <v>1.9776703530331701</v>
      </c>
    </row>
    <row r="357" spans="1:3" x14ac:dyDescent="0.45">
      <c r="A357" s="28">
        <v>7290005425110</v>
      </c>
      <c r="B357" s="29">
        <v>45816</v>
      </c>
      <c r="C357">
        <v>1.9040390407955901</v>
      </c>
    </row>
    <row r="358" spans="1:3" x14ac:dyDescent="0.45">
      <c r="A358" s="28">
        <v>7290005425196</v>
      </c>
      <c r="B358" s="29">
        <v>45816</v>
      </c>
      <c r="C358">
        <v>1.7610651523740299</v>
      </c>
    </row>
    <row r="359" spans="1:3" x14ac:dyDescent="0.45">
      <c r="A359" s="28">
        <v>7290012116025</v>
      </c>
      <c r="B359" s="29">
        <v>45816</v>
      </c>
      <c r="C359">
        <v>1.9664437397813599</v>
      </c>
    </row>
    <row r="360" spans="1:3" x14ac:dyDescent="0.45">
      <c r="A360" s="28">
        <v>7290012117534</v>
      </c>
      <c r="B360" s="29">
        <v>45816</v>
      </c>
      <c r="C360">
        <v>1.75882131398357</v>
      </c>
    </row>
    <row r="361" spans="1:3" x14ac:dyDescent="0.45">
      <c r="A361" s="28">
        <v>7290013268204</v>
      </c>
      <c r="B361" s="29">
        <v>45816</v>
      </c>
      <c r="C361">
        <v>1.2293883823729099</v>
      </c>
    </row>
    <row r="362" spans="1:3" x14ac:dyDescent="0.45">
      <c r="A362" s="28">
        <v>7290013268891</v>
      </c>
      <c r="B362" s="29">
        <v>45816</v>
      </c>
      <c r="C362">
        <v>1.7760616567918399</v>
      </c>
    </row>
    <row r="363" spans="1:3" x14ac:dyDescent="0.45">
      <c r="A363" s="28">
        <v>7290013269003</v>
      </c>
      <c r="B363" s="29">
        <v>45816</v>
      </c>
      <c r="C363">
        <v>1.7440432466008899</v>
      </c>
    </row>
    <row r="364" spans="1:3" x14ac:dyDescent="0.45">
      <c r="A364" s="28">
        <v>7290014397453</v>
      </c>
      <c r="B364" s="29">
        <v>45816</v>
      </c>
      <c r="C364">
        <v>1.77135818512659</v>
      </c>
    </row>
    <row r="365" spans="1:3" x14ac:dyDescent="0.45">
      <c r="A365" s="28">
        <v>7290019274483</v>
      </c>
      <c r="B365" s="29">
        <v>45816</v>
      </c>
      <c r="C365">
        <v>1.7626200868965001</v>
      </c>
    </row>
    <row r="366" spans="1:3" x14ac:dyDescent="0.45">
      <c r="A366" s="28">
        <v>7290019274490</v>
      </c>
      <c r="B366" s="29">
        <v>45816</v>
      </c>
      <c r="C366">
        <v>1.7518229228368201</v>
      </c>
    </row>
    <row r="367" spans="1:3" x14ac:dyDescent="0.45">
      <c r="A367" s="28">
        <v>7290019611325</v>
      </c>
      <c r="B367" s="29">
        <v>45816</v>
      </c>
      <c r="C367">
        <v>1.74307596287453</v>
      </c>
    </row>
    <row r="368" spans="1:3" x14ac:dyDescent="0.45">
      <c r="A368" s="28">
        <v>7290103702489</v>
      </c>
      <c r="B368" s="29">
        <v>45816</v>
      </c>
      <c r="C368">
        <v>4.1885631725278403</v>
      </c>
    </row>
    <row r="369" spans="1:3" x14ac:dyDescent="0.45">
      <c r="A369" s="28">
        <v>7290103703370</v>
      </c>
      <c r="B369" s="29">
        <v>45816</v>
      </c>
      <c r="C369">
        <v>4.2064366290760704</v>
      </c>
    </row>
    <row r="370" spans="1:3" x14ac:dyDescent="0.45">
      <c r="A370" s="28">
        <v>7290103704155</v>
      </c>
      <c r="B370" s="29">
        <v>45816</v>
      </c>
      <c r="C370">
        <v>4.1778722472194803</v>
      </c>
    </row>
    <row r="371" spans="1:3" x14ac:dyDescent="0.45">
      <c r="A371" s="28">
        <v>7290103704179</v>
      </c>
      <c r="B371" s="29">
        <v>45816</v>
      </c>
      <c r="C371">
        <v>4.2079251410531704</v>
      </c>
    </row>
    <row r="372" spans="1:3" x14ac:dyDescent="0.45">
      <c r="A372" s="28">
        <v>7290103704919</v>
      </c>
      <c r="B372" s="29">
        <v>45816</v>
      </c>
      <c r="C372">
        <v>4.1774663754573904</v>
      </c>
    </row>
    <row r="373" spans="1:3" x14ac:dyDescent="0.45">
      <c r="A373" s="28">
        <v>7290107280099</v>
      </c>
      <c r="B373" s="29">
        <v>45816</v>
      </c>
      <c r="C373">
        <v>1.2250064376612599</v>
      </c>
    </row>
    <row r="374" spans="1:3" x14ac:dyDescent="0.45">
      <c r="A374" s="28">
        <v>7290108351699</v>
      </c>
      <c r="B374" s="29">
        <v>45816</v>
      </c>
      <c r="C374">
        <v>1.97116295675054</v>
      </c>
    </row>
    <row r="375" spans="1:3" x14ac:dyDescent="0.45">
      <c r="A375" s="28">
        <v>7290108352702</v>
      </c>
      <c r="B375" s="29">
        <v>45816</v>
      </c>
      <c r="C375">
        <v>1.2089688741281599</v>
      </c>
    </row>
    <row r="376" spans="1:3" x14ac:dyDescent="0.45">
      <c r="A376" s="28">
        <v>7290108356298</v>
      </c>
      <c r="B376" s="29">
        <v>45816</v>
      </c>
      <c r="C376">
        <v>1.9436323437873599</v>
      </c>
    </row>
    <row r="377" spans="1:3" x14ac:dyDescent="0.45">
      <c r="A377" s="28">
        <v>7290108356700</v>
      </c>
      <c r="B377" s="29">
        <v>45816</v>
      </c>
      <c r="C377">
        <v>1.21813370837487</v>
      </c>
    </row>
    <row r="378" spans="1:3" x14ac:dyDescent="0.45">
      <c r="A378" s="28">
        <v>7290108356717</v>
      </c>
      <c r="B378" s="29">
        <v>45816</v>
      </c>
      <c r="C378">
        <v>1.92910692758131</v>
      </c>
    </row>
    <row r="379" spans="1:3" x14ac:dyDescent="0.45">
      <c r="A379" s="28">
        <v>7290108356724</v>
      </c>
      <c r="B379" s="29">
        <v>45816</v>
      </c>
      <c r="C379">
        <v>1.9325439463259</v>
      </c>
    </row>
    <row r="380" spans="1:3" x14ac:dyDescent="0.45">
      <c r="A380" s="28">
        <v>7290108357240</v>
      </c>
      <c r="B380" s="29">
        <v>45816</v>
      </c>
      <c r="C380">
        <v>1.7640132493893299</v>
      </c>
    </row>
    <row r="381" spans="1:3" x14ac:dyDescent="0.45">
      <c r="A381" s="28">
        <v>7290108357288</v>
      </c>
      <c r="B381" s="29">
        <v>45816</v>
      </c>
      <c r="C381">
        <v>4.19183204759499</v>
      </c>
    </row>
    <row r="382" spans="1:3" x14ac:dyDescent="0.45">
      <c r="A382" s="28">
        <v>7290108357844</v>
      </c>
      <c r="B382" s="29">
        <v>45816</v>
      </c>
      <c r="C382">
        <v>1.95795043874387</v>
      </c>
    </row>
    <row r="383" spans="1:3" x14ac:dyDescent="0.45">
      <c r="A383" s="28">
        <v>7290108359077</v>
      </c>
      <c r="B383" s="29">
        <v>45816</v>
      </c>
      <c r="C383">
        <v>1.2098983478365499</v>
      </c>
    </row>
    <row r="384" spans="1:3" x14ac:dyDescent="0.45">
      <c r="A384" s="28">
        <v>7290108359176</v>
      </c>
      <c r="B384" s="29">
        <v>45816</v>
      </c>
      <c r="C384">
        <v>1.2151544318971099</v>
      </c>
    </row>
    <row r="385" spans="1:3" x14ac:dyDescent="0.45">
      <c r="A385" s="28">
        <v>7290108359190</v>
      </c>
      <c r="B385" s="29">
        <v>45816</v>
      </c>
      <c r="C385">
        <v>1.2130514785267501</v>
      </c>
    </row>
    <row r="386" spans="1:3" x14ac:dyDescent="0.45">
      <c r="A386" s="28">
        <v>8001090184375</v>
      </c>
      <c r="B386" s="29">
        <v>45816</v>
      </c>
      <c r="C386">
        <v>1.42033292869081</v>
      </c>
    </row>
    <row r="387" spans="1:3" x14ac:dyDescent="0.45">
      <c r="A387" s="28">
        <v>8001090184412</v>
      </c>
      <c r="B387" s="29">
        <v>45816</v>
      </c>
      <c r="C387">
        <v>4.1544202158170798</v>
      </c>
    </row>
    <row r="388" spans="1:3" x14ac:dyDescent="0.45">
      <c r="A388" s="28">
        <v>8001841625362</v>
      </c>
      <c r="B388" s="29">
        <v>45816</v>
      </c>
      <c r="C388">
        <v>1.7719170835956799</v>
      </c>
    </row>
    <row r="389" spans="1:3" x14ac:dyDescent="0.45">
      <c r="A389" s="28">
        <v>8001841893990</v>
      </c>
      <c r="B389" s="29">
        <v>45816</v>
      </c>
      <c r="C389">
        <v>1.2150334158454299</v>
      </c>
    </row>
    <row r="390" spans="1:3" x14ac:dyDescent="0.45">
      <c r="A390" s="28">
        <v>8006540429327</v>
      </c>
      <c r="B390" s="29">
        <v>45816</v>
      </c>
      <c r="C390">
        <v>4.1541784708175298</v>
      </c>
    </row>
    <row r="391" spans="1:3" x14ac:dyDescent="0.45">
      <c r="A391" s="28">
        <v>8700216163811</v>
      </c>
      <c r="B391" s="29">
        <v>45816</v>
      </c>
      <c r="C391">
        <v>4.1449574418996704</v>
      </c>
    </row>
    <row r="392" spans="1:3" x14ac:dyDescent="0.45">
      <c r="A392" s="28">
        <v>8700216236034</v>
      </c>
      <c r="B392" s="29">
        <v>45816</v>
      </c>
      <c r="C392">
        <v>1.4404991827079701</v>
      </c>
    </row>
    <row r="393" spans="1:3" x14ac:dyDescent="0.45">
      <c r="A393" s="28">
        <v>8700216236751</v>
      </c>
      <c r="B393" s="29">
        <v>45816</v>
      </c>
      <c r="C393">
        <v>1.7579145716903299</v>
      </c>
    </row>
    <row r="394" spans="1:3" x14ac:dyDescent="0.45">
      <c r="A394" s="28">
        <v>4084500088917</v>
      </c>
      <c r="B394" s="29">
        <v>45817</v>
      </c>
      <c r="C394">
        <v>4.2005430397281902</v>
      </c>
    </row>
    <row r="395" spans="1:3" x14ac:dyDescent="0.45">
      <c r="A395" s="28">
        <v>4084500853836</v>
      </c>
      <c r="B395" s="29">
        <v>45817</v>
      </c>
      <c r="C395">
        <v>4.19110906717916</v>
      </c>
    </row>
    <row r="396" spans="1:3" x14ac:dyDescent="0.45">
      <c r="A396" s="28">
        <v>7290000286921</v>
      </c>
      <c r="B396" s="29">
        <v>45817</v>
      </c>
      <c r="C396">
        <v>1.32245141760748</v>
      </c>
    </row>
    <row r="397" spans="1:3" x14ac:dyDescent="0.45">
      <c r="A397" s="28">
        <v>7290000288024</v>
      </c>
      <c r="B397" s="29">
        <v>45817</v>
      </c>
      <c r="C397">
        <v>4.2299322177998304</v>
      </c>
    </row>
    <row r="398" spans="1:3" x14ac:dyDescent="0.45">
      <c r="A398" s="28">
        <v>7290000288307</v>
      </c>
      <c r="B398" s="29">
        <v>45817</v>
      </c>
      <c r="C398">
        <v>1.21581453211719</v>
      </c>
    </row>
    <row r="399" spans="1:3" x14ac:dyDescent="0.45">
      <c r="A399" s="28">
        <v>7290000288659</v>
      </c>
      <c r="B399" s="29">
        <v>45817</v>
      </c>
      <c r="C399">
        <v>1.21378588921742</v>
      </c>
    </row>
    <row r="400" spans="1:3" x14ac:dyDescent="0.45">
      <c r="A400" s="28">
        <v>7290000292915</v>
      </c>
      <c r="B400" s="29">
        <v>45817</v>
      </c>
      <c r="C400">
        <v>1.9504898689889101</v>
      </c>
    </row>
    <row r="401" spans="1:3" x14ac:dyDescent="0.45">
      <c r="A401" s="28">
        <v>7290000294780</v>
      </c>
      <c r="B401" s="29">
        <v>45817</v>
      </c>
      <c r="C401">
        <v>4.1795488724362402</v>
      </c>
    </row>
    <row r="402" spans="1:3" x14ac:dyDescent="0.45">
      <c r="A402" s="28">
        <v>7290000295367</v>
      </c>
      <c r="B402" s="29">
        <v>45817</v>
      </c>
      <c r="C402">
        <v>1.7668677508136399</v>
      </c>
    </row>
    <row r="403" spans="1:3" x14ac:dyDescent="0.45">
      <c r="A403" s="28">
        <v>7290000295541</v>
      </c>
      <c r="B403" s="29">
        <v>45817</v>
      </c>
      <c r="C403">
        <v>1.21851255968635</v>
      </c>
    </row>
    <row r="404" spans="1:3" x14ac:dyDescent="0.45">
      <c r="A404" s="28">
        <v>7290001246610</v>
      </c>
      <c r="B404" s="29">
        <v>45817</v>
      </c>
      <c r="C404">
        <v>1.7734305948460101</v>
      </c>
    </row>
    <row r="405" spans="1:3" x14ac:dyDescent="0.45">
      <c r="A405" s="28">
        <v>7290005424700</v>
      </c>
      <c r="B405" s="29">
        <v>45817</v>
      </c>
      <c r="C405">
        <v>1.9776703530331701</v>
      </c>
    </row>
    <row r="406" spans="1:3" x14ac:dyDescent="0.45">
      <c r="A406" s="28">
        <v>7290005425110</v>
      </c>
      <c r="B406" s="29">
        <v>45817</v>
      </c>
      <c r="C406">
        <v>1.9040390407955901</v>
      </c>
    </row>
    <row r="407" spans="1:3" x14ac:dyDescent="0.45">
      <c r="A407" s="28">
        <v>7290005425196</v>
      </c>
      <c r="B407" s="29">
        <v>45817</v>
      </c>
      <c r="C407">
        <v>1.7610651523740299</v>
      </c>
    </row>
    <row r="408" spans="1:3" x14ac:dyDescent="0.45">
      <c r="A408" s="28">
        <v>7290012116025</v>
      </c>
      <c r="B408" s="29">
        <v>45817</v>
      </c>
      <c r="C408">
        <v>1.9664437397813599</v>
      </c>
    </row>
    <row r="409" spans="1:3" x14ac:dyDescent="0.45">
      <c r="A409" s="28">
        <v>7290012117534</v>
      </c>
      <c r="B409" s="29">
        <v>45817</v>
      </c>
      <c r="C409">
        <v>1.75882131398357</v>
      </c>
    </row>
    <row r="410" spans="1:3" x14ac:dyDescent="0.45">
      <c r="A410" s="28">
        <v>7290013268204</v>
      </c>
      <c r="B410" s="29">
        <v>45817</v>
      </c>
      <c r="C410">
        <v>1.2293883823729099</v>
      </c>
    </row>
    <row r="411" spans="1:3" x14ac:dyDescent="0.45">
      <c r="A411" s="28">
        <v>7290013268891</v>
      </c>
      <c r="B411" s="29">
        <v>45817</v>
      </c>
      <c r="C411">
        <v>1.7760616567918399</v>
      </c>
    </row>
    <row r="412" spans="1:3" x14ac:dyDescent="0.45">
      <c r="A412" s="28">
        <v>7290013269003</v>
      </c>
      <c r="B412" s="29">
        <v>45817</v>
      </c>
      <c r="C412">
        <v>1.7440432466008899</v>
      </c>
    </row>
    <row r="413" spans="1:3" x14ac:dyDescent="0.45">
      <c r="A413" s="28">
        <v>7290014397453</v>
      </c>
      <c r="B413" s="29">
        <v>45817</v>
      </c>
      <c r="C413">
        <v>1.77135818512659</v>
      </c>
    </row>
    <row r="414" spans="1:3" x14ac:dyDescent="0.45">
      <c r="A414" s="28">
        <v>7290019274483</v>
      </c>
      <c r="B414" s="29">
        <v>45817</v>
      </c>
      <c r="C414">
        <v>1.7626200868965001</v>
      </c>
    </row>
    <row r="415" spans="1:3" x14ac:dyDescent="0.45">
      <c r="A415" s="28">
        <v>7290019274490</v>
      </c>
      <c r="B415" s="29">
        <v>45817</v>
      </c>
      <c r="C415">
        <v>1.7518229228368201</v>
      </c>
    </row>
    <row r="416" spans="1:3" x14ac:dyDescent="0.45">
      <c r="A416" s="28">
        <v>7290019611325</v>
      </c>
      <c r="B416" s="29">
        <v>45817</v>
      </c>
      <c r="C416">
        <v>1.74307596287453</v>
      </c>
    </row>
    <row r="417" spans="1:3" x14ac:dyDescent="0.45">
      <c r="A417" s="28">
        <v>7290103702489</v>
      </c>
      <c r="B417" s="29">
        <v>45817</v>
      </c>
      <c r="C417">
        <v>4.1885631725278403</v>
      </c>
    </row>
    <row r="418" spans="1:3" x14ac:dyDescent="0.45">
      <c r="A418" s="28">
        <v>7290103703370</v>
      </c>
      <c r="B418" s="29">
        <v>45817</v>
      </c>
      <c r="C418">
        <v>4.2064366290760704</v>
      </c>
    </row>
    <row r="419" spans="1:3" x14ac:dyDescent="0.45">
      <c r="A419" s="28">
        <v>7290103704155</v>
      </c>
      <c r="B419" s="29">
        <v>45817</v>
      </c>
      <c r="C419">
        <v>4.1778722472194803</v>
      </c>
    </row>
    <row r="420" spans="1:3" x14ac:dyDescent="0.45">
      <c r="A420" s="28">
        <v>7290103704179</v>
      </c>
      <c r="B420" s="29">
        <v>45817</v>
      </c>
      <c r="C420">
        <v>4.2079251410531704</v>
      </c>
    </row>
    <row r="421" spans="1:3" x14ac:dyDescent="0.45">
      <c r="A421" s="28">
        <v>7290103704919</v>
      </c>
      <c r="B421" s="29">
        <v>45817</v>
      </c>
      <c r="C421">
        <v>4.1774663754573904</v>
      </c>
    </row>
    <row r="422" spans="1:3" x14ac:dyDescent="0.45">
      <c r="A422" s="28">
        <v>7290107280099</v>
      </c>
      <c r="B422" s="29">
        <v>45817</v>
      </c>
      <c r="C422">
        <v>1.2250064376612599</v>
      </c>
    </row>
    <row r="423" spans="1:3" x14ac:dyDescent="0.45">
      <c r="A423" s="28">
        <v>7290108351699</v>
      </c>
      <c r="B423" s="29">
        <v>45817</v>
      </c>
      <c r="C423">
        <v>1.97116295675054</v>
      </c>
    </row>
    <row r="424" spans="1:3" x14ac:dyDescent="0.45">
      <c r="A424" s="28">
        <v>7290108352702</v>
      </c>
      <c r="B424" s="29">
        <v>45817</v>
      </c>
      <c r="C424">
        <v>1.2089688741281599</v>
      </c>
    </row>
    <row r="425" spans="1:3" x14ac:dyDescent="0.45">
      <c r="A425" s="28">
        <v>7290108356298</v>
      </c>
      <c r="B425" s="29">
        <v>45817</v>
      </c>
      <c r="C425">
        <v>1.9436323437873599</v>
      </c>
    </row>
    <row r="426" spans="1:3" x14ac:dyDescent="0.45">
      <c r="A426" s="28">
        <v>7290108356700</v>
      </c>
      <c r="B426" s="29">
        <v>45817</v>
      </c>
      <c r="C426">
        <v>1.21813370837487</v>
      </c>
    </row>
    <row r="427" spans="1:3" x14ac:dyDescent="0.45">
      <c r="A427" s="28">
        <v>7290108356717</v>
      </c>
      <c r="B427" s="29">
        <v>45817</v>
      </c>
      <c r="C427">
        <v>1.92910692758131</v>
      </c>
    </row>
    <row r="428" spans="1:3" x14ac:dyDescent="0.45">
      <c r="A428" s="28">
        <v>7290108356724</v>
      </c>
      <c r="B428" s="29">
        <v>45817</v>
      </c>
      <c r="C428">
        <v>1.9325439463259</v>
      </c>
    </row>
    <row r="429" spans="1:3" x14ac:dyDescent="0.45">
      <c r="A429" s="28">
        <v>7290108357240</v>
      </c>
      <c r="B429" s="29">
        <v>45817</v>
      </c>
      <c r="C429">
        <v>1.7640132493893299</v>
      </c>
    </row>
    <row r="430" spans="1:3" x14ac:dyDescent="0.45">
      <c r="A430" s="28">
        <v>7290108357288</v>
      </c>
      <c r="B430" s="29">
        <v>45817</v>
      </c>
      <c r="C430">
        <v>4.19183204759499</v>
      </c>
    </row>
    <row r="431" spans="1:3" x14ac:dyDescent="0.45">
      <c r="A431" s="28">
        <v>7290108357844</v>
      </c>
      <c r="B431" s="29">
        <v>45817</v>
      </c>
      <c r="C431">
        <v>1.95795043874387</v>
      </c>
    </row>
    <row r="432" spans="1:3" x14ac:dyDescent="0.45">
      <c r="A432" s="28">
        <v>7290108359077</v>
      </c>
      <c r="B432" s="29">
        <v>45817</v>
      </c>
      <c r="C432">
        <v>1.2098983478365499</v>
      </c>
    </row>
    <row r="433" spans="1:3" x14ac:dyDescent="0.45">
      <c r="A433" s="28">
        <v>7290108359176</v>
      </c>
      <c r="B433" s="29">
        <v>45817</v>
      </c>
      <c r="C433">
        <v>1.2151544318971099</v>
      </c>
    </row>
    <row r="434" spans="1:3" x14ac:dyDescent="0.45">
      <c r="A434" s="28">
        <v>7290108359190</v>
      </c>
      <c r="B434" s="29">
        <v>45817</v>
      </c>
      <c r="C434">
        <v>1.2130514785267501</v>
      </c>
    </row>
    <row r="435" spans="1:3" x14ac:dyDescent="0.45">
      <c r="A435" s="28">
        <v>8001090184375</v>
      </c>
      <c r="B435" s="29">
        <v>45817</v>
      </c>
      <c r="C435">
        <v>1.42033292869081</v>
      </c>
    </row>
    <row r="436" spans="1:3" x14ac:dyDescent="0.45">
      <c r="A436" s="28">
        <v>8001090184412</v>
      </c>
      <c r="B436" s="29">
        <v>45817</v>
      </c>
      <c r="C436">
        <v>4.1544202158170798</v>
      </c>
    </row>
    <row r="437" spans="1:3" x14ac:dyDescent="0.45">
      <c r="A437" s="28">
        <v>8001841625362</v>
      </c>
      <c r="B437" s="29">
        <v>45817</v>
      </c>
      <c r="C437">
        <v>1.7719170835956799</v>
      </c>
    </row>
    <row r="438" spans="1:3" x14ac:dyDescent="0.45">
      <c r="A438" s="28">
        <v>8001841893990</v>
      </c>
      <c r="B438" s="29">
        <v>45817</v>
      </c>
      <c r="C438">
        <v>1.2150334158454299</v>
      </c>
    </row>
    <row r="439" spans="1:3" x14ac:dyDescent="0.45">
      <c r="A439" s="28">
        <v>8006540429327</v>
      </c>
      <c r="B439" s="29">
        <v>45817</v>
      </c>
      <c r="C439">
        <v>4.1541784708175298</v>
      </c>
    </row>
    <row r="440" spans="1:3" x14ac:dyDescent="0.45">
      <c r="A440" s="28">
        <v>8700216163811</v>
      </c>
      <c r="B440" s="29">
        <v>45817</v>
      </c>
      <c r="C440">
        <v>4.1449574418996704</v>
      </c>
    </row>
    <row r="441" spans="1:3" x14ac:dyDescent="0.45">
      <c r="A441" s="28">
        <v>8700216236034</v>
      </c>
      <c r="B441" s="29">
        <v>45817</v>
      </c>
      <c r="C441">
        <v>1.4404991827079701</v>
      </c>
    </row>
    <row r="442" spans="1:3" x14ac:dyDescent="0.45">
      <c r="A442" s="28">
        <v>8700216236751</v>
      </c>
      <c r="B442" s="29">
        <v>45817</v>
      </c>
      <c r="C442">
        <v>1.7579145716903299</v>
      </c>
    </row>
    <row r="443" spans="1:3" x14ac:dyDescent="0.45">
      <c r="A443" s="28">
        <v>4084500088917</v>
      </c>
      <c r="B443" s="29">
        <v>45818</v>
      </c>
      <c r="C443">
        <v>4.2005430397281902</v>
      </c>
    </row>
    <row r="444" spans="1:3" x14ac:dyDescent="0.45">
      <c r="A444" s="28">
        <v>4084500853836</v>
      </c>
      <c r="B444" s="29">
        <v>45818</v>
      </c>
      <c r="C444">
        <v>4.19110906717916</v>
      </c>
    </row>
    <row r="445" spans="1:3" x14ac:dyDescent="0.45">
      <c r="A445" s="28">
        <v>7290000286921</v>
      </c>
      <c r="B445" s="29">
        <v>45818</v>
      </c>
      <c r="C445">
        <v>1.32245141760748</v>
      </c>
    </row>
    <row r="446" spans="1:3" x14ac:dyDescent="0.45">
      <c r="A446" s="28">
        <v>7290000288024</v>
      </c>
      <c r="B446" s="29">
        <v>45818</v>
      </c>
      <c r="C446">
        <v>4.2299322177998304</v>
      </c>
    </row>
    <row r="447" spans="1:3" x14ac:dyDescent="0.45">
      <c r="A447" s="28">
        <v>7290000288307</v>
      </c>
      <c r="B447" s="29">
        <v>45818</v>
      </c>
      <c r="C447">
        <v>1.21581453211719</v>
      </c>
    </row>
    <row r="448" spans="1:3" x14ac:dyDescent="0.45">
      <c r="A448" s="28">
        <v>7290000288659</v>
      </c>
      <c r="B448" s="29">
        <v>45818</v>
      </c>
      <c r="C448">
        <v>1.21378588921742</v>
      </c>
    </row>
    <row r="449" spans="1:3" x14ac:dyDescent="0.45">
      <c r="A449" s="28">
        <v>7290000292915</v>
      </c>
      <c r="B449" s="29">
        <v>45818</v>
      </c>
      <c r="C449">
        <v>1.9504898689889101</v>
      </c>
    </row>
    <row r="450" spans="1:3" x14ac:dyDescent="0.45">
      <c r="A450" s="28">
        <v>7290000294780</v>
      </c>
      <c r="B450" s="29">
        <v>45818</v>
      </c>
      <c r="C450">
        <v>4.1795488724362402</v>
      </c>
    </row>
    <row r="451" spans="1:3" x14ac:dyDescent="0.45">
      <c r="A451" s="28">
        <v>7290000295367</v>
      </c>
      <c r="B451" s="29">
        <v>45818</v>
      </c>
      <c r="C451">
        <v>1.7668677508136399</v>
      </c>
    </row>
    <row r="452" spans="1:3" x14ac:dyDescent="0.45">
      <c r="A452" s="28">
        <v>7290000295541</v>
      </c>
      <c r="B452" s="29">
        <v>45818</v>
      </c>
      <c r="C452">
        <v>1.21851255968635</v>
      </c>
    </row>
    <row r="453" spans="1:3" x14ac:dyDescent="0.45">
      <c r="A453" s="28">
        <v>7290001246610</v>
      </c>
      <c r="B453" s="29">
        <v>45818</v>
      </c>
      <c r="C453">
        <v>1.7734305948460101</v>
      </c>
    </row>
    <row r="454" spans="1:3" x14ac:dyDescent="0.45">
      <c r="A454" s="28">
        <v>7290005424700</v>
      </c>
      <c r="B454" s="29">
        <v>45818</v>
      </c>
      <c r="C454">
        <v>1.9776703530331701</v>
      </c>
    </row>
    <row r="455" spans="1:3" x14ac:dyDescent="0.45">
      <c r="A455" s="28">
        <v>7290005425110</v>
      </c>
      <c r="B455" s="29">
        <v>45818</v>
      </c>
      <c r="C455">
        <v>1.9040390407955901</v>
      </c>
    </row>
    <row r="456" spans="1:3" x14ac:dyDescent="0.45">
      <c r="A456" s="28">
        <v>7290005425196</v>
      </c>
      <c r="B456" s="29">
        <v>45818</v>
      </c>
      <c r="C456">
        <v>1.7610651523740299</v>
      </c>
    </row>
    <row r="457" spans="1:3" x14ac:dyDescent="0.45">
      <c r="A457" s="28">
        <v>7290012116025</v>
      </c>
      <c r="B457" s="29">
        <v>45818</v>
      </c>
      <c r="C457">
        <v>1.9664437397813599</v>
      </c>
    </row>
    <row r="458" spans="1:3" x14ac:dyDescent="0.45">
      <c r="A458" s="28">
        <v>7290012117534</v>
      </c>
      <c r="B458" s="29">
        <v>45818</v>
      </c>
      <c r="C458">
        <v>1.75882131398357</v>
      </c>
    </row>
    <row r="459" spans="1:3" x14ac:dyDescent="0.45">
      <c r="A459" s="28">
        <v>7290013268204</v>
      </c>
      <c r="B459" s="29">
        <v>45818</v>
      </c>
      <c r="C459">
        <v>1.2293883823729099</v>
      </c>
    </row>
    <row r="460" spans="1:3" x14ac:dyDescent="0.45">
      <c r="A460" s="28">
        <v>7290013268891</v>
      </c>
      <c r="B460" s="29">
        <v>45818</v>
      </c>
      <c r="C460">
        <v>1.7760616567918399</v>
      </c>
    </row>
    <row r="461" spans="1:3" x14ac:dyDescent="0.45">
      <c r="A461" s="28">
        <v>7290013269003</v>
      </c>
      <c r="B461" s="29">
        <v>45818</v>
      </c>
      <c r="C461">
        <v>1.7440432466008899</v>
      </c>
    </row>
    <row r="462" spans="1:3" x14ac:dyDescent="0.45">
      <c r="A462" s="28">
        <v>7290014397453</v>
      </c>
      <c r="B462" s="29">
        <v>45818</v>
      </c>
      <c r="C462">
        <v>1.77135818512659</v>
      </c>
    </row>
    <row r="463" spans="1:3" x14ac:dyDescent="0.45">
      <c r="A463" s="28">
        <v>7290019274483</v>
      </c>
      <c r="B463" s="29">
        <v>45818</v>
      </c>
      <c r="C463">
        <v>1.7626200868965001</v>
      </c>
    </row>
    <row r="464" spans="1:3" x14ac:dyDescent="0.45">
      <c r="A464" s="28">
        <v>7290019274490</v>
      </c>
      <c r="B464" s="29">
        <v>45818</v>
      </c>
      <c r="C464">
        <v>1.7518229228368201</v>
      </c>
    </row>
    <row r="465" spans="1:3" x14ac:dyDescent="0.45">
      <c r="A465" s="28">
        <v>7290019611325</v>
      </c>
      <c r="B465" s="29">
        <v>45818</v>
      </c>
      <c r="C465">
        <v>1.74307596287453</v>
      </c>
    </row>
    <row r="466" spans="1:3" x14ac:dyDescent="0.45">
      <c r="A466" s="28">
        <v>7290103702489</v>
      </c>
      <c r="B466" s="29">
        <v>45818</v>
      </c>
      <c r="C466">
        <v>4.1885631725278403</v>
      </c>
    </row>
    <row r="467" spans="1:3" x14ac:dyDescent="0.45">
      <c r="A467" s="28">
        <v>7290103703370</v>
      </c>
      <c r="B467" s="29">
        <v>45818</v>
      </c>
      <c r="C467">
        <v>4.2064366290760704</v>
      </c>
    </row>
    <row r="468" spans="1:3" x14ac:dyDescent="0.45">
      <c r="A468" s="28">
        <v>7290103704155</v>
      </c>
      <c r="B468" s="29">
        <v>45818</v>
      </c>
      <c r="C468">
        <v>4.1778722472194803</v>
      </c>
    </row>
    <row r="469" spans="1:3" x14ac:dyDescent="0.45">
      <c r="A469" s="28">
        <v>7290103704179</v>
      </c>
      <c r="B469" s="29">
        <v>45818</v>
      </c>
      <c r="C469">
        <v>4.2079251410531704</v>
      </c>
    </row>
    <row r="470" spans="1:3" x14ac:dyDescent="0.45">
      <c r="A470" s="28">
        <v>7290103704919</v>
      </c>
      <c r="B470" s="29">
        <v>45818</v>
      </c>
      <c r="C470">
        <v>4.1774663754573904</v>
      </c>
    </row>
    <row r="471" spans="1:3" x14ac:dyDescent="0.45">
      <c r="A471" s="28">
        <v>7290107280099</v>
      </c>
      <c r="B471" s="29">
        <v>45818</v>
      </c>
      <c r="C471">
        <v>1.2250064376612599</v>
      </c>
    </row>
    <row r="472" spans="1:3" x14ac:dyDescent="0.45">
      <c r="A472" s="28">
        <v>7290108351699</v>
      </c>
      <c r="B472" s="29">
        <v>45818</v>
      </c>
      <c r="C472">
        <v>1.97116295675054</v>
      </c>
    </row>
    <row r="473" spans="1:3" x14ac:dyDescent="0.45">
      <c r="A473" s="28">
        <v>7290108352702</v>
      </c>
      <c r="B473" s="29">
        <v>45818</v>
      </c>
      <c r="C473">
        <v>1.2089688741281599</v>
      </c>
    </row>
    <row r="474" spans="1:3" x14ac:dyDescent="0.45">
      <c r="A474" s="28">
        <v>7290108356298</v>
      </c>
      <c r="B474" s="29">
        <v>45818</v>
      </c>
      <c r="C474">
        <v>1.9436323437873599</v>
      </c>
    </row>
    <row r="475" spans="1:3" x14ac:dyDescent="0.45">
      <c r="A475" s="28">
        <v>7290108356700</v>
      </c>
      <c r="B475" s="29">
        <v>45818</v>
      </c>
      <c r="C475">
        <v>1.21813370837487</v>
      </c>
    </row>
    <row r="476" spans="1:3" x14ac:dyDescent="0.45">
      <c r="A476" s="28">
        <v>7290108356717</v>
      </c>
      <c r="B476" s="29">
        <v>45818</v>
      </c>
      <c r="C476">
        <v>1.92910692758131</v>
      </c>
    </row>
    <row r="477" spans="1:3" x14ac:dyDescent="0.45">
      <c r="A477" s="28">
        <v>7290108356724</v>
      </c>
      <c r="B477" s="29">
        <v>45818</v>
      </c>
      <c r="C477">
        <v>1.9325439463259</v>
      </c>
    </row>
    <row r="478" spans="1:3" x14ac:dyDescent="0.45">
      <c r="A478" s="28">
        <v>7290108357240</v>
      </c>
      <c r="B478" s="29">
        <v>45818</v>
      </c>
      <c r="C478">
        <v>1.7640132493893299</v>
      </c>
    </row>
    <row r="479" spans="1:3" x14ac:dyDescent="0.45">
      <c r="A479" s="28">
        <v>7290108357288</v>
      </c>
      <c r="B479" s="29">
        <v>45818</v>
      </c>
      <c r="C479">
        <v>4.19183204759499</v>
      </c>
    </row>
    <row r="480" spans="1:3" x14ac:dyDescent="0.45">
      <c r="A480" s="28">
        <v>7290108357844</v>
      </c>
      <c r="B480" s="29">
        <v>45818</v>
      </c>
      <c r="C480">
        <v>1.95795043874387</v>
      </c>
    </row>
    <row r="481" spans="1:3" x14ac:dyDescent="0.45">
      <c r="A481" s="28">
        <v>7290108359077</v>
      </c>
      <c r="B481" s="29">
        <v>45818</v>
      </c>
      <c r="C481">
        <v>1.2098983478365499</v>
      </c>
    </row>
    <row r="482" spans="1:3" x14ac:dyDescent="0.45">
      <c r="A482" s="28">
        <v>7290108359176</v>
      </c>
      <c r="B482" s="29">
        <v>45818</v>
      </c>
      <c r="C482">
        <v>1.2151544318971099</v>
      </c>
    </row>
    <row r="483" spans="1:3" x14ac:dyDescent="0.45">
      <c r="A483" s="28">
        <v>7290108359190</v>
      </c>
      <c r="B483" s="29">
        <v>45818</v>
      </c>
      <c r="C483">
        <v>1.2130514785267501</v>
      </c>
    </row>
    <row r="484" spans="1:3" x14ac:dyDescent="0.45">
      <c r="A484" s="28">
        <v>8001090184375</v>
      </c>
      <c r="B484" s="29">
        <v>45818</v>
      </c>
      <c r="C484">
        <v>1.42033292869081</v>
      </c>
    </row>
    <row r="485" spans="1:3" x14ac:dyDescent="0.45">
      <c r="A485" s="28">
        <v>8001090184412</v>
      </c>
      <c r="B485" s="29">
        <v>45818</v>
      </c>
      <c r="C485">
        <v>4.1544202158170798</v>
      </c>
    </row>
    <row r="486" spans="1:3" x14ac:dyDescent="0.45">
      <c r="A486" s="28">
        <v>8001841625362</v>
      </c>
      <c r="B486" s="29">
        <v>45818</v>
      </c>
      <c r="C486">
        <v>1.7719170835956799</v>
      </c>
    </row>
    <row r="487" spans="1:3" x14ac:dyDescent="0.45">
      <c r="A487" s="28">
        <v>8001841893990</v>
      </c>
      <c r="B487" s="29">
        <v>45818</v>
      </c>
      <c r="C487">
        <v>1.2150334158454299</v>
      </c>
    </row>
    <row r="488" spans="1:3" x14ac:dyDescent="0.45">
      <c r="A488" s="28">
        <v>8006540429327</v>
      </c>
      <c r="B488" s="29">
        <v>45818</v>
      </c>
      <c r="C488">
        <v>4.1541784708175298</v>
      </c>
    </row>
    <row r="489" spans="1:3" x14ac:dyDescent="0.45">
      <c r="A489" s="28">
        <v>8700216163811</v>
      </c>
      <c r="B489" s="29">
        <v>45818</v>
      </c>
      <c r="C489">
        <v>4.1449574418996704</v>
      </c>
    </row>
    <row r="490" spans="1:3" x14ac:dyDescent="0.45">
      <c r="A490" s="28">
        <v>8700216236034</v>
      </c>
      <c r="B490" s="29">
        <v>45818</v>
      </c>
      <c r="C490">
        <v>1.4404991827079701</v>
      </c>
    </row>
    <row r="491" spans="1:3" x14ac:dyDescent="0.45">
      <c r="A491" s="28">
        <v>8700216236751</v>
      </c>
      <c r="B491" s="29">
        <v>45818</v>
      </c>
      <c r="C491">
        <v>1.7579145716903299</v>
      </c>
    </row>
    <row r="492" spans="1:3" x14ac:dyDescent="0.45">
      <c r="A492" s="28">
        <v>4084500088917</v>
      </c>
      <c r="B492" s="29">
        <v>45819</v>
      </c>
      <c r="C492">
        <v>4.2005430397281902</v>
      </c>
    </row>
    <row r="493" spans="1:3" x14ac:dyDescent="0.45">
      <c r="A493" s="28">
        <v>4084500853836</v>
      </c>
      <c r="B493" s="29">
        <v>45819</v>
      </c>
      <c r="C493">
        <v>4.19110906717916</v>
      </c>
    </row>
    <row r="494" spans="1:3" x14ac:dyDescent="0.45">
      <c r="A494" s="28">
        <v>7290000286921</v>
      </c>
      <c r="B494" s="29">
        <v>45819</v>
      </c>
      <c r="C494">
        <v>1.32245141760748</v>
      </c>
    </row>
    <row r="495" spans="1:3" x14ac:dyDescent="0.45">
      <c r="A495" s="28">
        <v>7290000288024</v>
      </c>
      <c r="B495" s="29">
        <v>45819</v>
      </c>
      <c r="C495">
        <v>4.2299322177998304</v>
      </c>
    </row>
    <row r="496" spans="1:3" x14ac:dyDescent="0.45">
      <c r="A496" s="28">
        <v>7290000288307</v>
      </c>
      <c r="B496" s="29">
        <v>45819</v>
      </c>
      <c r="C496">
        <v>1.21581453211719</v>
      </c>
    </row>
    <row r="497" spans="1:3" x14ac:dyDescent="0.45">
      <c r="A497" s="28">
        <v>7290000288659</v>
      </c>
      <c r="B497" s="29">
        <v>45819</v>
      </c>
      <c r="C497">
        <v>1.21378588921742</v>
      </c>
    </row>
    <row r="498" spans="1:3" x14ac:dyDescent="0.45">
      <c r="A498" s="28">
        <v>7290000292915</v>
      </c>
      <c r="B498" s="29">
        <v>45819</v>
      </c>
      <c r="C498">
        <v>1.9504898689889101</v>
      </c>
    </row>
    <row r="499" spans="1:3" x14ac:dyDescent="0.45">
      <c r="A499" s="28">
        <v>7290000294780</v>
      </c>
      <c r="B499" s="29">
        <v>45819</v>
      </c>
      <c r="C499">
        <v>4.1795488724362402</v>
      </c>
    </row>
    <row r="500" spans="1:3" x14ac:dyDescent="0.45">
      <c r="A500" s="28">
        <v>7290000295367</v>
      </c>
      <c r="B500" s="29">
        <v>45819</v>
      </c>
      <c r="C500">
        <v>1.7668677508136399</v>
      </c>
    </row>
    <row r="501" spans="1:3" x14ac:dyDescent="0.45">
      <c r="A501" s="28">
        <v>7290000295541</v>
      </c>
      <c r="B501" s="29">
        <v>45819</v>
      </c>
      <c r="C501">
        <v>1.21851255968635</v>
      </c>
    </row>
    <row r="502" spans="1:3" x14ac:dyDescent="0.45">
      <c r="A502" s="28">
        <v>7290001246610</v>
      </c>
      <c r="B502" s="29">
        <v>45819</v>
      </c>
      <c r="C502">
        <v>1.7734305948460101</v>
      </c>
    </row>
    <row r="503" spans="1:3" x14ac:dyDescent="0.45">
      <c r="A503" s="28">
        <v>7290005424700</v>
      </c>
      <c r="B503" s="29">
        <v>45819</v>
      </c>
      <c r="C503">
        <v>1.9776703530331701</v>
      </c>
    </row>
    <row r="504" spans="1:3" x14ac:dyDescent="0.45">
      <c r="A504" s="28">
        <v>7290005425110</v>
      </c>
      <c r="B504" s="29">
        <v>45819</v>
      </c>
      <c r="C504">
        <v>1.9040390407955901</v>
      </c>
    </row>
    <row r="505" spans="1:3" x14ac:dyDescent="0.45">
      <c r="A505" s="28">
        <v>7290005425196</v>
      </c>
      <c r="B505" s="29">
        <v>45819</v>
      </c>
      <c r="C505">
        <v>1.7610651523740299</v>
      </c>
    </row>
    <row r="506" spans="1:3" x14ac:dyDescent="0.45">
      <c r="A506" s="28">
        <v>7290012116025</v>
      </c>
      <c r="B506" s="29">
        <v>45819</v>
      </c>
      <c r="C506">
        <v>1.9664437397813599</v>
      </c>
    </row>
    <row r="507" spans="1:3" x14ac:dyDescent="0.45">
      <c r="A507" s="28">
        <v>7290012117534</v>
      </c>
      <c r="B507" s="29">
        <v>45819</v>
      </c>
      <c r="C507">
        <v>1.75882131398357</v>
      </c>
    </row>
    <row r="508" spans="1:3" x14ac:dyDescent="0.45">
      <c r="A508" s="28">
        <v>7290013268204</v>
      </c>
      <c r="B508" s="29">
        <v>45819</v>
      </c>
      <c r="C508">
        <v>1.2293883823729099</v>
      </c>
    </row>
    <row r="509" spans="1:3" x14ac:dyDescent="0.45">
      <c r="A509" s="28">
        <v>7290013268891</v>
      </c>
      <c r="B509" s="29">
        <v>45819</v>
      </c>
      <c r="C509">
        <v>1.7760616567918399</v>
      </c>
    </row>
    <row r="510" spans="1:3" x14ac:dyDescent="0.45">
      <c r="A510" s="28">
        <v>7290013269003</v>
      </c>
      <c r="B510" s="29">
        <v>45819</v>
      </c>
      <c r="C510">
        <v>1.7440432466008899</v>
      </c>
    </row>
    <row r="511" spans="1:3" x14ac:dyDescent="0.45">
      <c r="A511" s="28">
        <v>7290014397453</v>
      </c>
      <c r="B511" s="29">
        <v>45819</v>
      </c>
      <c r="C511">
        <v>1.77135818512659</v>
      </c>
    </row>
    <row r="512" spans="1:3" x14ac:dyDescent="0.45">
      <c r="A512" s="28">
        <v>7290019274483</v>
      </c>
      <c r="B512" s="29">
        <v>45819</v>
      </c>
      <c r="C512">
        <v>1.7626200868965001</v>
      </c>
    </row>
    <row r="513" spans="1:3" x14ac:dyDescent="0.45">
      <c r="A513" s="28">
        <v>7290019274490</v>
      </c>
      <c r="B513" s="29">
        <v>45819</v>
      </c>
      <c r="C513">
        <v>1.7518229228368201</v>
      </c>
    </row>
    <row r="514" spans="1:3" x14ac:dyDescent="0.45">
      <c r="A514" s="28">
        <v>7290019611325</v>
      </c>
      <c r="B514" s="29">
        <v>45819</v>
      </c>
      <c r="C514">
        <v>1.74307596287453</v>
      </c>
    </row>
    <row r="515" spans="1:3" x14ac:dyDescent="0.45">
      <c r="A515" s="28">
        <v>7290103702489</v>
      </c>
      <c r="B515" s="29">
        <v>45819</v>
      </c>
      <c r="C515">
        <v>4.1885631725278403</v>
      </c>
    </row>
    <row r="516" spans="1:3" x14ac:dyDescent="0.45">
      <c r="A516" s="28">
        <v>7290103703370</v>
      </c>
      <c r="B516" s="29">
        <v>45819</v>
      </c>
      <c r="C516">
        <v>4.2064366290760704</v>
      </c>
    </row>
    <row r="517" spans="1:3" x14ac:dyDescent="0.45">
      <c r="A517" s="28">
        <v>7290103704155</v>
      </c>
      <c r="B517" s="29">
        <v>45819</v>
      </c>
      <c r="C517">
        <v>4.1778722472194803</v>
      </c>
    </row>
    <row r="518" spans="1:3" x14ac:dyDescent="0.45">
      <c r="A518" s="28">
        <v>7290103704179</v>
      </c>
      <c r="B518" s="29">
        <v>45819</v>
      </c>
      <c r="C518">
        <v>4.2079251410531704</v>
      </c>
    </row>
    <row r="519" spans="1:3" x14ac:dyDescent="0.45">
      <c r="A519" s="28">
        <v>7290103704919</v>
      </c>
      <c r="B519" s="29">
        <v>45819</v>
      </c>
      <c r="C519">
        <v>4.1774663754573904</v>
      </c>
    </row>
    <row r="520" spans="1:3" x14ac:dyDescent="0.45">
      <c r="A520" s="28">
        <v>7290107280099</v>
      </c>
      <c r="B520" s="29">
        <v>45819</v>
      </c>
      <c r="C520">
        <v>1.2250064376612599</v>
      </c>
    </row>
    <row r="521" spans="1:3" x14ac:dyDescent="0.45">
      <c r="A521" s="28">
        <v>7290108351699</v>
      </c>
      <c r="B521" s="29">
        <v>45819</v>
      </c>
      <c r="C521">
        <v>1.97116295675054</v>
      </c>
    </row>
    <row r="522" spans="1:3" x14ac:dyDescent="0.45">
      <c r="A522" s="28">
        <v>7290108352702</v>
      </c>
      <c r="B522" s="29">
        <v>45819</v>
      </c>
      <c r="C522">
        <v>1.2089688741281599</v>
      </c>
    </row>
    <row r="523" spans="1:3" x14ac:dyDescent="0.45">
      <c r="A523" s="28">
        <v>7290108356298</v>
      </c>
      <c r="B523" s="29">
        <v>45819</v>
      </c>
      <c r="C523">
        <v>1.9436323437873599</v>
      </c>
    </row>
    <row r="524" spans="1:3" x14ac:dyDescent="0.45">
      <c r="A524" s="28">
        <v>7290108356700</v>
      </c>
      <c r="B524" s="29">
        <v>45819</v>
      </c>
      <c r="C524">
        <v>1.21813370837487</v>
      </c>
    </row>
    <row r="525" spans="1:3" x14ac:dyDescent="0.45">
      <c r="A525" s="28">
        <v>7290108356717</v>
      </c>
      <c r="B525" s="29">
        <v>45819</v>
      </c>
      <c r="C525">
        <v>1.92910692758131</v>
      </c>
    </row>
    <row r="526" spans="1:3" x14ac:dyDescent="0.45">
      <c r="A526" s="28">
        <v>7290108356724</v>
      </c>
      <c r="B526" s="29">
        <v>45819</v>
      </c>
      <c r="C526">
        <v>1.9325439463259</v>
      </c>
    </row>
    <row r="527" spans="1:3" x14ac:dyDescent="0.45">
      <c r="A527" s="28">
        <v>7290108357240</v>
      </c>
      <c r="B527" s="29">
        <v>45819</v>
      </c>
      <c r="C527">
        <v>1.7640132493893299</v>
      </c>
    </row>
    <row r="528" spans="1:3" x14ac:dyDescent="0.45">
      <c r="A528" s="28">
        <v>7290108357288</v>
      </c>
      <c r="B528" s="29">
        <v>45819</v>
      </c>
      <c r="C528">
        <v>4.19183204759499</v>
      </c>
    </row>
    <row r="529" spans="1:3" x14ac:dyDescent="0.45">
      <c r="A529" s="28">
        <v>7290108357844</v>
      </c>
      <c r="B529" s="29">
        <v>45819</v>
      </c>
      <c r="C529">
        <v>1.95795043874387</v>
      </c>
    </row>
    <row r="530" spans="1:3" x14ac:dyDescent="0.45">
      <c r="A530" s="28">
        <v>7290108359077</v>
      </c>
      <c r="B530" s="29">
        <v>45819</v>
      </c>
      <c r="C530">
        <v>1.2098983478365499</v>
      </c>
    </row>
    <row r="531" spans="1:3" x14ac:dyDescent="0.45">
      <c r="A531" s="28">
        <v>7290108359176</v>
      </c>
      <c r="B531" s="29">
        <v>45819</v>
      </c>
      <c r="C531">
        <v>1.2151544318971099</v>
      </c>
    </row>
    <row r="532" spans="1:3" x14ac:dyDescent="0.45">
      <c r="A532" s="28">
        <v>7290108359190</v>
      </c>
      <c r="B532" s="29">
        <v>45819</v>
      </c>
      <c r="C532">
        <v>1.2130514785267501</v>
      </c>
    </row>
    <row r="533" spans="1:3" x14ac:dyDescent="0.45">
      <c r="A533" s="28">
        <v>8001090184375</v>
      </c>
      <c r="B533" s="29">
        <v>45819</v>
      </c>
      <c r="C533">
        <v>1.42033292869081</v>
      </c>
    </row>
    <row r="534" spans="1:3" x14ac:dyDescent="0.45">
      <c r="A534" s="28">
        <v>8001090184412</v>
      </c>
      <c r="B534" s="29">
        <v>45819</v>
      </c>
      <c r="C534">
        <v>4.1544202158170798</v>
      </c>
    </row>
    <row r="535" spans="1:3" x14ac:dyDescent="0.45">
      <c r="A535" s="28">
        <v>8001841625362</v>
      </c>
      <c r="B535" s="29">
        <v>45819</v>
      </c>
      <c r="C535">
        <v>1.7719170835956799</v>
      </c>
    </row>
    <row r="536" spans="1:3" x14ac:dyDescent="0.45">
      <c r="A536" s="28">
        <v>8001841893990</v>
      </c>
      <c r="B536" s="29">
        <v>45819</v>
      </c>
      <c r="C536">
        <v>1.2150334158454299</v>
      </c>
    </row>
    <row r="537" spans="1:3" x14ac:dyDescent="0.45">
      <c r="A537" s="28">
        <v>8006540429327</v>
      </c>
      <c r="B537" s="29">
        <v>45819</v>
      </c>
      <c r="C537">
        <v>4.1541784708175298</v>
      </c>
    </row>
    <row r="538" spans="1:3" x14ac:dyDescent="0.45">
      <c r="A538" s="28">
        <v>8700216163811</v>
      </c>
      <c r="B538" s="29">
        <v>45819</v>
      </c>
      <c r="C538">
        <v>4.1449574418996704</v>
      </c>
    </row>
    <row r="539" spans="1:3" x14ac:dyDescent="0.45">
      <c r="A539" s="28">
        <v>8700216236034</v>
      </c>
      <c r="B539" s="29">
        <v>45819</v>
      </c>
      <c r="C539">
        <v>1.4404991827079701</v>
      </c>
    </row>
    <row r="540" spans="1:3" x14ac:dyDescent="0.45">
      <c r="A540" s="28">
        <v>8700216236751</v>
      </c>
      <c r="B540" s="29">
        <v>45819</v>
      </c>
      <c r="C540">
        <v>1.7579145716903299</v>
      </c>
    </row>
    <row r="541" spans="1:3" x14ac:dyDescent="0.45">
      <c r="A541" s="28">
        <v>4084500088917</v>
      </c>
      <c r="B541" s="29">
        <v>45820</v>
      </c>
      <c r="C541">
        <v>4.2005430397281902</v>
      </c>
    </row>
    <row r="542" spans="1:3" x14ac:dyDescent="0.45">
      <c r="A542" s="28">
        <v>4084500853836</v>
      </c>
      <c r="B542" s="29">
        <v>45820</v>
      </c>
      <c r="C542">
        <v>4.19110906717916</v>
      </c>
    </row>
    <row r="543" spans="1:3" x14ac:dyDescent="0.45">
      <c r="A543" s="28">
        <v>7290000286921</v>
      </c>
      <c r="B543" s="29">
        <v>45820</v>
      </c>
      <c r="C543">
        <v>1.32245141760748</v>
      </c>
    </row>
    <row r="544" spans="1:3" x14ac:dyDescent="0.45">
      <c r="A544" s="28">
        <v>7290000288024</v>
      </c>
      <c r="B544" s="29">
        <v>45820</v>
      </c>
      <c r="C544">
        <v>4.2299322177998304</v>
      </c>
    </row>
    <row r="545" spans="1:3" x14ac:dyDescent="0.45">
      <c r="A545" s="28">
        <v>7290000288307</v>
      </c>
      <c r="B545" s="29">
        <v>45820</v>
      </c>
      <c r="C545">
        <v>1.21581453211719</v>
      </c>
    </row>
    <row r="546" spans="1:3" x14ac:dyDescent="0.45">
      <c r="A546" s="28">
        <v>7290000288659</v>
      </c>
      <c r="B546" s="29">
        <v>45820</v>
      </c>
      <c r="C546">
        <v>1.21378588921742</v>
      </c>
    </row>
    <row r="547" spans="1:3" x14ac:dyDescent="0.45">
      <c r="A547" s="28">
        <v>7290000292915</v>
      </c>
      <c r="B547" s="29">
        <v>45820</v>
      </c>
      <c r="C547">
        <v>1.9504898689889101</v>
      </c>
    </row>
    <row r="548" spans="1:3" x14ac:dyDescent="0.45">
      <c r="A548" s="28">
        <v>7290000294780</v>
      </c>
      <c r="B548" s="29">
        <v>45820</v>
      </c>
      <c r="C548">
        <v>4.1795488724362402</v>
      </c>
    </row>
    <row r="549" spans="1:3" x14ac:dyDescent="0.45">
      <c r="A549" s="28">
        <v>7290000295367</v>
      </c>
      <c r="B549" s="29">
        <v>45820</v>
      </c>
      <c r="C549">
        <v>1.7668677508136399</v>
      </c>
    </row>
    <row r="550" spans="1:3" x14ac:dyDescent="0.45">
      <c r="A550" s="28">
        <v>7290000295541</v>
      </c>
      <c r="B550" s="29">
        <v>45820</v>
      </c>
      <c r="C550">
        <v>1.21851255968635</v>
      </c>
    </row>
    <row r="551" spans="1:3" x14ac:dyDescent="0.45">
      <c r="A551" s="28">
        <v>7290001246610</v>
      </c>
      <c r="B551" s="29">
        <v>45820</v>
      </c>
      <c r="C551">
        <v>1.7734305948460101</v>
      </c>
    </row>
    <row r="552" spans="1:3" x14ac:dyDescent="0.45">
      <c r="A552" s="28">
        <v>7290005424700</v>
      </c>
      <c r="B552" s="29">
        <v>45820</v>
      </c>
      <c r="C552">
        <v>1.9776703530331701</v>
      </c>
    </row>
    <row r="553" spans="1:3" x14ac:dyDescent="0.45">
      <c r="A553" s="28">
        <v>7290005425110</v>
      </c>
      <c r="B553" s="29">
        <v>45820</v>
      </c>
      <c r="C553">
        <v>1.9040390407955901</v>
      </c>
    </row>
    <row r="554" spans="1:3" x14ac:dyDescent="0.45">
      <c r="A554" s="28">
        <v>7290005425196</v>
      </c>
      <c r="B554" s="29">
        <v>45820</v>
      </c>
      <c r="C554">
        <v>1.7610651523740299</v>
      </c>
    </row>
    <row r="555" spans="1:3" x14ac:dyDescent="0.45">
      <c r="A555" s="28">
        <v>7290012116025</v>
      </c>
      <c r="B555" s="29">
        <v>45820</v>
      </c>
      <c r="C555">
        <v>1.9664437397813599</v>
      </c>
    </row>
    <row r="556" spans="1:3" x14ac:dyDescent="0.45">
      <c r="A556" s="28">
        <v>7290012117534</v>
      </c>
      <c r="B556" s="29">
        <v>45820</v>
      </c>
      <c r="C556">
        <v>1.75882131398357</v>
      </c>
    </row>
    <row r="557" spans="1:3" x14ac:dyDescent="0.45">
      <c r="A557" s="28">
        <v>7290013268204</v>
      </c>
      <c r="B557" s="29">
        <v>45820</v>
      </c>
      <c r="C557">
        <v>1.2293883823729099</v>
      </c>
    </row>
    <row r="558" spans="1:3" x14ac:dyDescent="0.45">
      <c r="A558" s="28">
        <v>7290013268891</v>
      </c>
      <c r="B558" s="29">
        <v>45820</v>
      </c>
      <c r="C558">
        <v>1.7760616567918399</v>
      </c>
    </row>
    <row r="559" spans="1:3" x14ac:dyDescent="0.45">
      <c r="A559" s="28">
        <v>7290013269003</v>
      </c>
      <c r="B559" s="29">
        <v>45820</v>
      </c>
      <c r="C559">
        <v>1.7440432466008899</v>
      </c>
    </row>
    <row r="560" spans="1:3" x14ac:dyDescent="0.45">
      <c r="A560" s="28">
        <v>7290014397453</v>
      </c>
      <c r="B560" s="29">
        <v>45820</v>
      </c>
      <c r="C560">
        <v>1.77135818512659</v>
      </c>
    </row>
    <row r="561" spans="1:3" x14ac:dyDescent="0.45">
      <c r="A561" s="28">
        <v>7290019274483</v>
      </c>
      <c r="B561" s="29">
        <v>45820</v>
      </c>
      <c r="C561">
        <v>1.7626200868965001</v>
      </c>
    </row>
    <row r="562" spans="1:3" x14ac:dyDescent="0.45">
      <c r="A562" s="28">
        <v>7290019274490</v>
      </c>
      <c r="B562" s="29">
        <v>45820</v>
      </c>
      <c r="C562">
        <v>1.7518229228368201</v>
      </c>
    </row>
    <row r="563" spans="1:3" x14ac:dyDescent="0.45">
      <c r="A563" s="28">
        <v>7290019611325</v>
      </c>
      <c r="B563" s="29">
        <v>45820</v>
      </c>
      <c r="C563">
        <v>1.74307596287453</v>
      </c>
    </row>
    <row r="564" spans="1:3" x14ac:dyDescent="0.45">
      <c r="A564" s="28">
        <v>7290103702489</v>
      </c>
      <c r="B564" s="29">
        <v>45820</v>
      </c>
      <c r="C564">
        <v>4.1885631725278403</v>
      </c>
    </row>
    <row r="565" spans="1:3" x14ac:dyDescent="0.45">
      <c r="A565" s="28">
        <v>7290103703370</v>
      </c>
      <c r="B565" s="29">
        <v>45820</v>
      </c>
      <c r="C565">
        <v>4.2064366290760704</v>
      </c>
    </row>
    <row r="566" spans="1:3" x14ac:dyDescent="0.45">
      <c r="A566" s="28">
        <v>7290103704155</v>
      </c>
      <c r="B566" s="29">
        <v>45820</v>
      </c>
      <c r="C566">
        <v>4.1778722472194803</v>
      </c>
    </row>
    <row r="567" spans="1:3" x14ac:dyDescent="0.45">
      <c r="A567" s="28">
        <v>7290103704179</v>
      </c>
      <c r="B567" s="29">
        <v>45820</v>
      </c>
      <c r="C567">
        <v>4.2079251410531704</v>
      </c>
    </row>
    <row r="568" spans="1:3" x14ac:dyDescent="0.45">
      <c r="A568" s="28">
        <v>7290103704919</v>
      </c>
      <c r="B568" s="29">
        <v>45820</v>
      </c>
      <c r="C568">
        <v>4.1774663754573904</v>
      </c>
    </row>
    <row r="569" spans="1:3" x14ac:dyDescent="0.45">
      <c r="A569" s="28">
        <v>7290107280099</v>
      </c>
      <c r="B569" s="29">
        <v>45820</v>
      </c>
      <c r="C569">
        <v>1.2250064376612599</v>
      </c>
    </row>
    <row r="570" spans="1:3" x14ac:dyDescent="0.45">
      <c r="A570" s="28">
        <v>7290108351699</v>
      </c>
      <c r="B570" s="29">
        <v>45820</v>
      </c>
      <c r="C570">
        <v>1.97116295675054</v>
      </c>
    </row>
    <row r="571" spans="1:3" x14ac:dyDescent="0.45">
      <c r="A571" s="28">
        <v>7290108352702</v>
      </c>
      <c r="B571" s="29">
        <v>45820</v>
      </c>
      <c r="C571">
        <v>1.2089688741281599</v>
      </c>
    </row>
    <row r="572" spans="1:3" x14ac:dyDescent="0.45">
      <c r="A572" s="28">
        <v>7290108356298</v>
      </c>
      <c r="B572" s="29">
        <v>45820</v>
      </c>
      <c r="C572">
        <v>1.9436323437873599</v>
      </c>
    </row>
    <row r="573" spans="1:3" x14ac:dyDescent="0.45">
      <c r="A573" s="28">
        <v>7290108356700</v>
      </c>
      <c r="B573" s="29">
        <v>45820</v>
      </c>
      <c r="C573">
        <v>1.21813370837487</v>
      </c>
    </row>
    <row r="574" spans="1:3" x14ac:dyDescent="0.45">
      <c r="A574" s="28">
        <v>7290108356717</v>
      </c>
      <c r="B574" s="29">
        <v>45820</v>
      </c>
      <c r="C574">
        <v>1.92910692758131</v>
      </c>
    </row>
    <row r="575" spans="1:3" x14ac:dyDescent="0.45">
      <c r="A575" s="28">
        <v>7290108356724</v>
      </c>
      <c r="B575" s="29">
        <v>45820</v>
      </c>
      <c r="C575">
        <v>1.9325439463259</v>
      </c>
    </row>
    <row r="576" spans="1:3" x14ac:dyDescent="0.45">
      <c r="A576" s="28">
        <v>7290108357240</v>
      </c>
      <c r="B576" s="29">
        <v>45820</v>
      </c>
      <c r="C576">
        <v>1.7640132493893299</v>
      </c>
    </row>
    <row r="577" spans="1:3" x14ac:dyDescent="0.45">
      <c r="A577" s="28">
        <v>7290108357288</v>
      </c>
      <c r="B577" s="29">
        <v>45820</v>
      </c>
      <c r="C577">
        <v>4.19183204759499</v>
      </c>
    </row>
    <row r="578" spans="1:3" x14ac:dyDescent="0.45">
      <c r="A578" s="28">
        <v>7290108357844</v>
      </c>
      <c r="B578" s="29">
        <v>45820</v>
      </c>
      <c r="C578">
        <v>1.95795043874387</v>
      </c>
    </row>
    <row r="579" spans="1:3" x14ac:dyDescent="0.45">
      <c r="A579" s="28">
        <v>7290108359077</v>
      </c>
      <c r="B579" s="29">
        <v>45820</v>
      </c>
      <c r="C579">
        <v>1.2098983478365499</v>
      </c>
    </row>
    <row r="580" spans="1:3" x14ac:dyDescent="0.45">
      <c r="A580" s="28">
        <v>7290108359176</v>
      </c>
      <c r="B580" s="29">
        <v>45820</v>
      </c>
      <c r="C580">
        <v>1.2151544318971099</v>
      </c>
    </row>
    <row r="581" spans="1:3" x14ac:dyDescent="0.45">
      <c r="A581" s="28">
        <v>7290108359190</v>
      </c>
      <c r="B581" s="29">
        <v>45820</v>
      </c>
      <c r="C581">
        <v>1.2130514785267501</v>
      </c>
    </row>
    <row r="582" spans="1:3" x14ac:dyDescent="0.45">
      <c r="A582" s="28">
        <v>8001090184375</v>
      </c>
      <c r="B582" s="29">
        <v>45820</v>
      </c>
      <c r="C582">
        <v>1.42033292869081</v>
      </c>
    </row>
    <row r="583" spans="1:3" x14ac:dyDescent="0.45">
      <c r="A583" s="28">
        <v>8001090184412</v>
      </c>
      <c r="B583" s="29">
        <v>45820</v>
      </c>
      <c r="C583">
        <v>4.1544202158170798</v>
      </c>
    </row>
    <row r="584" spans="1:3" x14ac:dyDescent="0.45">
      <c r="A584" s="28">
        <v>8001841625362</v>
      </c>
      <c r="B584" s="29">
        <v>45820</v>
      </c>
      <c r="C584">
        <v>1.7719170835956799</v>
      </c>
    </row>
    <row r="585" spans="1:3" x14ac:dyDescent="0.45">
      <c r="A585" s="28">
        <v>8001841893990</v>
      </c>
      <c r="B585" s="29">
        <v>45820</v>
      </c>
      <c r="C585">
        <v>1.2150334158454299</v>
      </c>
    </row>
    <row r="586" spans="1:3" x14ac:dyDescent="0.45">
      <c r="A586" s="28">
        <v>8006540429327</v>
      </c>
      <c r="B586" s="29">
        <v>45820</v>
      </c>
      <c r="C586">
        <v>4.1541784708175298</v>
      </c>
    </row>
    <row r="587" spans="1:3" x14ac:dyDescent="0.45">
      <c r="A587" s="28">
        <v>8700216163811</v>
      </c>
      <c r="B587" s="29">
        <v>45820</v>
      </c>
      <c r="C587">
        <v>4.1449574418996704</v>
      </c>
    </row>
    <row r="588" spans="1:3" x14ac:dyDescent="0.45">
      <c r="A588" s="28">
        <v>8700216236034</v>
      </c>
      <c r="B588" s="29">
        <v>45820</v>
      </c>
      <c r="C588">
        <v>1.4404991827079701</v>
      </c>
    </row>
    <row r="589" spans="1:3" x14ac:dyDescent="0.45">
      <c r="A589" s="28">
        <v>8700216236751</v>
      </c>
      <c r="B589" s="29">
        <v>45820</v>
      </c>
      <c r="C589">
        <v>1.7579145716903299</v>
      </c>
    </row>
    <row r="590" spans="1:3" x14ac:dyDescent="0.45">
      <c r="A590" s="28">
        <v>4084500088917</v>
      </c>
      <c r="B590" s="29">
        <v>45821</v>
      </c>
      <c r="C590">
        <v>8.2979049568489298</v>
      </c>
    </row>
    <row r="591" spans="1:3" x14ac:dyDescent="0.45">
      <c r="A591" s="28">
        <v>4084500853836</v>
      </c>
      <c r="B591" s="29">
        <v>45821</v>
      </c>
      <c r="C591">
        <v>8.0833956024541394</v>
      </c>
    </row>
    <row r="592" spans="1:3" x14ac:dyDescent="0.45">
      <c r="A592" s="28">
        <v>7290000286921</v>
      </c>
      <c r="B592" s="29">
        <v>45821</v>
      </c>
      <c r="C592">
        <v>3.51796284319314</v>
      </c>
    </row>
    <row r="593" spans="1:3" x14ac:dyDescent="0.45">
      <c r="A593" s="28">
        <v>7290000288024</v>
      </c>
      <c r="B593" s="29">
        <v>45821</v>
      </c>
      <c r="C593">
        <v>8.2867921030624192</v>
      </c>
    </row>
    <row r="594" spans="1:3" x14ac:dyDescent="0.45">
      <c r="A594" s="28">
        <v>7290000288307</v>
      </c>
      <c r="B594" s="29">
        <v>45821</v>
      </c>
      <c r="C594">
        <v>3.3923182140065</v>
      </c>
    </row>
    <row r="595" spans="1:3" x14ac:dyDescent="0.45">
      <c r="A595" s="28">
        <v>7290000288659</v>
      </c>
      <c r="B595" s="29">
        <v>45821</v>
      </c>
      <c r="C595">
        <v>3.3932693933139699</v>
      </c>
    </row>
    <row r="596" spans="1:3" x14ac:dyDescent="0.45">
      <c r="A596" s="28">
        <v>7290000292915</v>
      </c>
      <c r="B596" s="29">
        <v>45821</v>
      </c>
      <c r="C596">
        <v>4.1311326037876501</v>
      </c>
    </row>
    <row r="597" spans="1:3" x14ac:dyDescent="0.45">
      <c r="A597" s="28">
        <v>7290000294780</v>
      </c>
      <c r="B597" s="29">
        <v>45821</v>
      </c>
      <c r="C597">
        <v>8.2513120346081692</v>
      </c>
    </row>
    <row r="598" spans="1:3" x14ac:dyDescent="0.45">
      <c r="A598" s="28">
        <v>7290000295367</v>
      </c>
      <c r="B598" s="29">
        <v>45821</v>
      </c>
      <c r="C598">
        <v>3.5574926139802301</v>
      </c>
    </row>
    <row r="599" spans="1:3" x14ac:dyDescent="0.45">
      <c r="A599" s="28">
        <v>7290000295541</v>
      </c>
      <c r="B599" s="29">
        <v>45821</v>
      </c>
      <c r="C599">
        <v>3.3883908770184101</v>
      </c>
    </row>
    <row r="600" spans="1:3" x14ac:dyDescent="0.45">
      <c r="A600" s="28">
        <v>7290001246610</v>
      </c>
      <c r="B600" s="29">
        <v>45821</v>
      </c>
      <c r="C600">
        <v>3.6392969113331999</v>
      </c>
    </row>
    <row r="601" spans="1:3" x14ac:dyDescent="0.45">
      <c r="A601" s="28">
        <v>7290005424700</v>
      </c>
      <c r="B601" s="29">
        <v>45821</v>
      </c>
      <c r="C601">
        <v>4.2234796181562997</v>
      </c>
    </row>
    <row r="602" spans="1:3" x14ac:dyDescent="0.45">
      <c r="A602" s="28">
        <v>7290005425110</v>
      </c>
      <c r="B602" s="29">
        <v>45821</v>
      </c>
      <c r="C602">
        <v>4.2632879960233296</v>
      </c>
    </row>
    <row r="603" spans="1:3" x14ac:dyDescent="0.45">
      <c r="A603" s="28">
        <v>7290005425196</v>
      </c>
      <c r="B603" s="29">
        <v>45821</v>
      </c>
      <c r="C603">
        <v>3.6002980636942699</v>
      </c>
    </row>
    <row r="604" spans="1:3" x14ac:dyDescent="0.45">
      <c r="A604" s="28">
        <v>7290012116025</v>
      </c>
      <c r="B604" s="29">
        <v>45821</v>
      </c>
      <c r="C604">
        <v>4.2836034183324099</v>
      </c>
    </row>
    <row r="605" spans="1:3" x14ac:dyDescent="0.45">
      <c r="A605" s="28">
        <v>7290012117534</v>
      </c>
      <c r="B605" s="29">
        <v>45821</v>
      </c>
      <c r="C605">
        <v>3.59435618256536</v>
      </c>
    </row>
    <row r="606" spans="1:3" x14ac:dyDescent="0.45">
      <c r="A606" s="28">
        <v>7290013268204</v>
      </c>
      <c r="B606" s="29">
        <v>45821</v>
      </c>
      <c r="C606">
        <v>3.3681682017627601</v>
      </c>
    </row>
    <row r="607" spans="1:3" x14ac:dyDescent="0.45">
      <c r="A607" s="28">
        <v>7290013268891</v>
      </c>
      <c r="B607" s="29">
        <v>45821</v>
      </c>
      <c r="C607">
        <v>3.5799595147616499</v>
      </c>
    </row>
    <row r="608" spans="1:3" x14ac:dyDescent="0.45">
      <c r="A608" s="28">
        <v>7290013269003</v>
      </c>
      <c r="B608" s="29">
        <v>45821</v>
      </c>
      <c r="C608">
        <v>3.5799204300558598</v>
      </c>
    </row>
    <row r="609" spans="1:3" x14ac:dyDescent="0.45">
      <c r="A609" s="28">
        <v>7290014397453</v>
      </c>
      <c r="B609" s="29">
        <v>45821</v>
      </c>
      <c r="C609">
        <v>3.6116262628589801</v>
      </c>
    </row>
    <row r="610" spans="1:3" x14ac:dyDescent="0.45">
      <c r="A610" s="28">
        <v>7290019274483</v>
      </c>
      <c r="B610" s="29">
        <v>45821</v>
      </c>
      <c r="C610">
        <v>3.6085748993404199</v>
      </c>
    </row>
    <row r="611" spans="1:3" x14ac:dyDescent="0.45">
      <c r="A611" s="28">
        <v>7290019274490</v>
      </c>
      <c r="B611" s="29">
        <v>45821</v>
      </c>
      <c r="C611">
        <v>3.6625690464774001</v>
      </c>
    </row>
    <row r="612" spans="1:3" x14ac:dyDescent="0.45">
      <c r="A612" s="28">
        <v>7290019611325</v>
      </c>
      <c r="B612" s="29">
        <v>45821</v>
      </c>
      <c r="C612">
        <v>3.5575953108992802</v>
      </c>
    </row>
    <row r="613" spans="1:3" x14ac:dyDescent="0.45">
      <c r="A613" s="28">
        <v>7290103702489</v>
      </c>
      <c r="B613" s="29">
        <v>45821</v>
      </c>
      <c r="C613">
        <v>8.2920317499110894</v>
      </c>
    </row>
    <row r="614" spans="1:3" x14ac:dyDescent="0.45">
      <c r="A614" s="28">
        <v>7290103703370</v>
      </c>
      <c r="B614" s="29">
        <v>45821</v>
      </c>
      <c r="C614">
        <v>8.1137730696634005</v>
      </c>
    </row>
    <row r="615" spans="1:3" x14ac:dyDescent="0.45">
      <c r="A615" s="28">
        <v>7290103704155</v>
      </c>
      <c r="B615" s="29">
        <v>45821</v>
      </c>
      <c r="C615">
        <v>8.32834063804723</v>
      </c>
    </row>
    <row r="616" spans="1:3" x14ac:dyDescent="0.45">
      <c r="A616" s="28">
        <v>7290103704179</v>
      </c>
      <c r="B616" s="29">
        <v>45821</v>
      </c>
      <c r="C616">
        <v>8.3006159083214897</v>
      </c>
    </row>
    <row r="617" spans="1:3" x14ac:dyDescent="0.45">
      <c r="A617" s="28">
        <v>7290103704919</v>
      </c>
      <c r="B617" s="29">
        <v>45821</v>
      </c>
      <c r="C617">
        <v>8.1244069410553692</v>
      </c>
    </row>
    <row r="618" spans="1:3" x14ac:dyDescent="0.45">
      <c r="A618" s="28">
        <v>7290107280099</v>
      </c>
      <c r="B618" s="29">
        <v>45821</v>
      </c>
      <c r="C618">
        <v>3.3639732367130502</v>
      </c>
    </row>
    <row r="619" spans="1:3" x14ac:dyDescent="0.45">
      <c r="A619" s="28">
        <v>7290108351699</v>
      </c>
      <c r="B619" s="29">
        <v>45821</v>
      </c>
      <c r="C619">
        <v>4.0946443871602698</v>
      </c>
    </row>
    <row r="620" spans="1:3" x14ac:dyDescent="0.45">
      <c r="A620" s="28">
        <v>7290108352702</v>
      </c>
      <c r="B620" s="29">
        <v>45821</v>
      </c>
      <c r="C620">
        <v>3.3749989510768499</v>
      </c>
    </row>
    <row r="621" spans="1:3" x14ac:dyDescent="0.45">
      <c r="A621" s="28">
        <v>7290108356298</v>
      </c>
      <c r="B621" s="29">
        <v>45821</v>
      </c>
      <c r="C621">
        <v>4.2385329162947398</v>
      </c>
    </row>
    <row r="622" spans="1:3" x14ac:dyDescent="0.45">
      <c r="A622" s="28">
        <v>7290108356700</v>
      </c>
      <c r="B622" s="29">
        <v>45821</v>
      </c>
      <c r="C622">
        <v>3.3962844637354799</v>
      </c>
    </row>
    <row r="623" spans="1:3" x14ac:dyDescent="0.45">
      <c r="A623" s="28">
        <v>7290108356717</v>
      </c>
      <c r="B623" s="29">
        <v>45821</v>
      </c>
      <c r="C623">
        <v>3.7718560308865601</v>
      </c>
    </row>
    <row r="624" spans="1:3" x14ac:dyDescent="0.45">
      <c r="A624" s="28">
        <v>7290108356724</v>
      </c>
      <c r="B624" s="29">
        <v>45821</v>
      </c>
      <c r="C624">
        <v>4.2393640728602202</v>
      </c>
    </row>
    <row r="625" spans="1:3" x14ac:dyDescent="0.45">
      <c r="A625" s="28">
        <v>7290108357240</v>
      </c>
      <c r="B625" s="29">
        <v>45821</v>
      </c>
      <c r="C625">
        <v>3.5300523396965602</v>
      </c>
    </row>
    <row r="626" spans="1:3" x14ac:dyDescent="0.45">
      <c r="A626" s="28">
        <v>7290108357288</v>
      </c>
      <c r="B626" s="29">
        <v>45821</v>
      </c>
      <c r="C626">
        <v>8.2017601333818995</v>
      </c>
    </row>
    <row r="627" spans="1:3" x14ac:dyDescent="0.45">
      <c r="A627" s="28">
        <v>7290108357844</v>
      </c>
      <c r="B627" s="29">
        <v>45821</v>
      </c>
      <c r="C627">
        <v>4.1611807203707096</v>
      </c>
    </row>
    <row r="628" spans="1:3" x14ac:dyDescent="0.45">
      <c r="A628" s="28">
        <v>7290108359077</v>
      </c>
      <c r="B628" s="29">
        <v>45821</v>
      </c>
      <c r="C628">
        <v>3.3677997197405598</v>
      </c>
    </row>
    <row r="629" spans="1:3" x14ac:dyDescent="0.45">
      <c r="A629" s="28">
        <v>7290108359176</v>
      </c>
      <c r="B629" s="29">
        <v>45821</v>
      </c>
      <c r="C629">
        <v>3.38167605823981</v>
      </c>
    </row>
    <row r="630" spans="1:3" x14ac:dyDescent="0.45">
      <c r="A630" s="28">
        <v>7290108359190</v>
      </c>
      <c r="B630" s="29">
        <v>45821</v>
      </c>
      <c r="C630">
        <v>3.38504409980081</v>
      </c>
    </row>
    <row r="631" spans="1:3" x14ac:dyDescent="0.45">
      <c r="A631" s="28">
        <v>8001090184375</v>
      </c>
      <c r="B631" s="29">
        <v>45821</v>
      </c>
      <c r="C631">
        <v>3.4444303084347401</v>
      </c>
    </row>
    <row r="632" spans="1:3" x14ac:dyDescent="0.45">
      <c r="A632" s="28">
        <v>8001090184412</v>
      </c>
      <c r="B632" s="29">
        <v>45821</v>
      </c>
      <c r="C632">
        <v>8.1941449313571404</v>
      </c>
    </row>
    <row r="633" spans="1:3" x14ac:dyDescent="0.45">
      <c r="A633" s="28">
        <v>8001841625362</v>
      </c>
      <c r="B633" s="29">
        <v>45821</v>
      </c>
      <c r="C633">
        <v>3.6477774735697199</v>
      </c>
    </row>
    <row r="634" spans="1:3" x14ac:dyDescent="0.45">
      <c r="A634" s="28">
        <v>8001841893990</v>
      </c>
      <c r="B634" s="29">
        <v>45821</v>
      </c>
      <c r="C634">
        <v>3.3596518899719898</v>
      </c>
    </row>
    <row r="635" spans="1:3" x14ac:dyDescent="0.45">
      <c r="A635" s="28">
        <v>8006540429327</v>
      </c>
      <c r="B635" s="29">
        <v>45821</v>
      </c>
      <c r="C635">
        <v>8.2551510781061399</v>
      </c>
    </row>
    <row r="636" spans="1:3" x14ac:dyDescent="0.45">
      <c r="A636" s="28">
        <v>8700216163811</v>
      </c>
      <c r="B636" s="29">
        <v>45821</v>
      </c>
      <c r="C636">
        <v>8.3322349266486295</v>
      </c>
    </row>
    <row r="637" spans="1:3" x14ac:dyDescent="0.45">
      <c r="A637" s="28">
        <v>8700216236034</v>
      </c>
      <c r="B637" s="29">
        <v>45821</v>
      </c>
      <c r="C637">
        <v>3.5013011553483402</v>
      </c>
    </row>
    <row r="638" spans="1:3" x14ac:dyDescent="0.45">
      <c r="A638" s="28">
        <v>8700216236751</v>
      </c>
      <c r="B638" s="29">
        <v>45821</v>
      </c>
      <c r="C638">
        <v>3.6469401290393302</v>
      </c>
    </row>
    <row r="639" spans="1:3" x14ac:dyDescent="0.45">
      <c r="A639" s="28">
        <v>4084500088917</v>
      </c>
      <c r="B639" s="29">
        <v>45822</v>
      </c>
      <c r="C639">
        <v>8.2979049568489298</v>
      </c>
    </row>
    <row r="640" spans="1:3" x14ac:dyDescent="0.45">
      <c r="A640" s="28">
        <v>4084500853836</v>
      </c>
      <c r="B640" s="29">
        <v>45822</v>
      </c>
      <c r="C640">
        <v>8.0833956024541394</v>
      </c>
    </row>
    <row r="641" spans="1:3" x14ac:dyDescent="0.45">
      <c r="A641" s="28">
        <v>7290000286921</v>
      </c>
      <c r="B641" s="29">
        <v>45822</v>
      </c>
      <c r="C641">
        <v>3.51796284319314</v>
      </c>
    </row>
    <row r="642" spans="1:3" x14ac:dyDescent="0.45">
      <c r="A642" s="28">
        <v>7290000288024</v>
      </c>
      <c r="B642" s="29">
        <v>45822</v>
      </c>
      <c r="C642">
        <v>8.2867921030624192</v>
      </c>
    </row>
    <row r="643" spans="1:3" x14ac:dyDescent="0.45">
      <c r="A643" s="28">
        <v>7290000288307</v>
      </c>
      <c r="B643" s="29">
        <v>45822</v>
      </c>
      <c r="C643">
        <v>3.3923182140065</v>
      </c>
    </row>
    <row r="644" spans="1:3" x14ac:dyDescent="0.45">
      <c r="A644" s="28">
        <v>7290000288659</v>
      </c>
      <c r="B644" s="29">
        <v>45822</v>
      </c>
      <c r="C644">
        <v>3.3932693933139699</v>
      </c>
    </row>
    <row r="645" spans="1:3" x14ac:dyDescent="0.45">
      <c r="A645" s="28">
        <v>7290000292915</v>
      </c>
      <c r="B645" s="29">
        <v>45822</v>
      </c>
      <c r="C645">
        <v>4.1311326037876501</v>
      </c>
    </row>
    <row r="646" spans="1:3" x14ac:dyDescent="0.45">
      <c r="A646" s="28">
        <v>7290000294780</v>
      </c>
      <c r="B646" s="29">
        <v>45822</v>
      </c>
      <c r="C646">
        <v>8.2513120346081692</v>
      </c>
    </row>
    <row r="647" spans="1:3" x14ac:dyDescent="0.45">
      <c r="A647" s="28">
        <v>7290000295367</v>
      </c>
      <c r="B647" s="29">
        <v>45822</v>
      </c>
      <c r="C647">
        <v>3.5574926139802301</v>
      </c>
    </row>
    <row r="648" spans="1:3" x14ac:dyDescent="0.45">
      <c r="A648" s="28">
        <v>7290000295541</v>
      </c>
      <c r="B648" s="29">
        <v>45822</v>
      </c>
      <c r="C648">
        <v>3.3883908770184101</v>
      </c>
    </row>
    <row r="649" spans="1:3" x14ac:dyDescent="0.45">
      <c r="A649" s="28">
        <v>7290001246610</v>
      </c>
      <c r="B649" s="29">
        <v>45822</v>
      </c>
      <c r="C649">
        <v>3.6392969113331999</v>
      </c>
    </row>
    <row r="650" spans="1:3" x14ac:dyDescent="0.45">
      <c r="A650" s="28">
        <v>7290005424700</v>
      </c>
      <c r="B650" s="29">
        <v>45822</v>
      </c>
      <c r="C650">
        <v>4.2234796181562997</v>
      </c>
    </row>
    <row r="651" spans="1:3" x14ac:dyDescent="0.45">
      <c r="A651" s="28">
        <v>7290005425110</v>
      </c>
      <c r="B651" s="29">
        <v>45822</v>
      </c>
      <c r="C651">
        <v>4.2632879960233296</v>
      </c>
    </row>
    <row r="652" spans="1:3" x14ac:dyDescent="0.45">
      <c r="A652" s="28">
        <v>7290005425196</v>
      </c>
      <c r="B652" s="29">
        <v>45822</v>
      </c>
      <c r="C652">
        <v>3.6002980636942699</v>
      </c>
    </row>
    <row r="653" spans="1:3" x14ac:dyDescent="0.45">
      <c r="A653" s="28">
        <v>7290012116025</v>
      </c>
      <c r="B653" s="29">
        <v>45822</v>
      </c>
      <c r="C653">
        <v>4.2836034183324099</v>
      </c>
    </row>
    <row r="654" spans="1:3" x14ac:dyDescent="0.45">
      <c r="A654" s="28">
        <v>7290012117534</v>
      </c>
      <c r="B654" s="29">
        <v>45822</v>
      </c>
      <c r="C654">
        <v>3.59435618256536</v>
      </c>
    </row>
    <row r="655" spans="1:3" x14ac:dyDescent="0.45">
      <c r="A655" s="28">
        <v>7290013268204</v>
      </c>
      <c r="B655" s="29">
        <v>45822</v>
      </c>
      <c r="C655">
        <v>3.3681682017627601</v>
      </c>
    </row>
    <row r="656" spans="1:3" x14ac:dyDescent="0.45">
      <c r="A656" s="28">
        <v>7290013268891</v>
      </c>
      <c r="B656" s="29">
        <v>45822</v>
      </c>
      <c r="C656">
        <v>3.5799595147616499</v>
      </c>
    </row>
    <row r="657" spans="1:3" x14ac:dyDescent="0.45">
      <c r="A657" s="28">
        <v>7290013269003</v>
      </c>
      <c r="B657" s="29">
        <v>45822</v>
      </c>
      <c r="C657">
        <v>3.5799204300558598</v>
      </c>
    </row>
    <row r="658" spans="1:3" x14ac:dyDescent="0.45">
      <c r="A658" s="28">
        <v>7290014397453</v>
      </c>
      <c r="B658" s="29">
        <v>45822</v>
      </c>
      <c r="C658">
        <v>3.6116262628589801</v>
      </c>
    </row>
    <row r="659" spans="1:3" x14ac:dyDescent="0.45">
      <c r="A659" s="28">
        <v>7290019274483</v>
      </c>
      <c r="B659" s="29">
        <v>45822</v>
      </c>
      <c r="C659">
        <v>3.6085748993404199</v>
      </c>
    </row>
    <row r="660" spans="1:3" x14ac:dyDescent="0.45">
      <c r="A660" s="28">
        <v>7290019274490</v>
      </c>
      <c r="B660" s="29">
        <v>45822</v>
      </c>
      <c r="C660">
        <v>3.6625690464774001</v>
      </c>
    </row>
    <row r="661" spans="1:3" x14ac:dyDescent="0.45">
      <c r="A661" s="28">
        <v>7290019611325</v>
      </c>
      <c r="B661" s="29">
        <v>45822</v>
      </c>
      <c r="C661">
        <v>3.5575953108992802</v>
      </c>
    </row>
    <row r="662" spans="1:3" x14ac:dyDescent="0.45">
      <c r="A662" s="28">
        <v>7290103702489</v>
      </c>
      <c r="B662" s="29">
        <v>45822</v>
      </c>
      <c r="C662">
        <v>8.2920317499110894</v>
      </c>
    </row>
    <row r="663" spans="1:3" x14ac:dyDescent="0.45">
      <c r="A663" s="28">
        <v>7290103703370</v>
      </c>
      <c r="B663" s="29">
        <v>45822</v>
      </c>
      <c r="C663">
        <v>8.1137730696634005</v>
      </c>
    </row>
    <row r="664" spans="1:3" x14ac:dyDescent="0.45">
      <c r="A664" s="28">
        <v>7290103704155</v>
      </c>
      <c r="B664" s="29">
        <v>45822</v>
      </c>
      <c r="C664">
        <v>8.32834063804723</v>
      </c>
    </row>
    <row r="665" spans="1:3" x14ac:dyDescent="0.45">
      <c r="A665" s="28">
        <v>7290103704179</v>
      </c>
      <c r="B665" s="29">
        <v>45822</v>
      </c>
      <c r="C665">
        <v>8.3006159083214897</v>
      </c>
    </row>
    <row r="666" spans="1:3" x14ac:dyDescent="0.45">
      <c r="A666" s="28">
        <v>7290103704919</v>
      </c>
      <c r="B666" s="29">
        <v>45822</v>
      </c>
      <c r="C666">
        <v>8.1244069410553692</v>
      </c>
    </row>
    <row r="667" spans="1:3" x14ac:dyDescent="0.45">
      <c r="A667" s="28">
        <v>7290107280099</v>
      </c>
      <c r="B667" s="29">
        <v>45822</v>
      </c>
      <c r="C667">
        <v>3.3639732367130502</v>
      </c>
    </row>
    <row r="668" spans="1:3" x14ac:dyDescent="0.45">
      <c r="A668" s="28">
        <v>7290108351699</v>
      </c>
      <c r="B668" s="29">
        <v>45822</v>
      </c>
      <c r="C668">
        <v>4.0946443871602698</v>
      </c>
    </row>
    <row r="669" spans="1:3" x14ac:dyDescent="0.45">
      <c r="A669" s="28">
        <v>7290108352702</v>
      </c>
      <c r="B669" s="29">
        <v>45822</v>
      </c>
      <c r="C669">
        <v>3.3749989510768499</v>
      </c>
    </row>
    <row r="670" spans="1:3" x14ac:dyDescent="0.45">
      <c r="A670" s="28">
        <v>7290108356298</v>
      </c>
      <c r="B670" s="29">
        <v>45822</v>
      </c>
      <c r="C670">
        <v>4.2385329162947398</v>
      </c>
    </row>
    <row r="671" spans="1:3" x14ac:dyDescent="0.45">
      <c r="A671" s="28">
        <v>7290108356700</v>
      </c>
      <c r="B671" s="29">
        <v>45822</v>
      </c>
      <c r="C671">
        <v>3.3962844637354799</v>
      </c>
    </row>
    <row r="672" spans="1:3" x14ac:dyDescent="0.45">
      <c r="A672" s="28">
        <v>7290108356717</v>
      </c>
      <c r="B672" s="29">
        <v>45822</v>
      </c>
      <c r="C672">
        <v>3.7718560308865601</v>
      </c>
    </row>
    <row r="673" spans="1:3" x14ac:dyDescent="0.45">
      <c r="A673" s="28">
        <v>7290108356724</v>
      </c>
      <c r="B673" s="29">
        <v>45822</v>
      </c>
      <c r="C673">
        <v>4.2393640728602202</v>
      </c>
    </row>
    <row r="674" spans="1:3" x14ac:dyDescent="0.45">
      <c r="A674" s="28">
        <v>7290108357240</v>
      </c>
      <c r="B674" s="29">
        <v>45822</v>
      </c>
      <c r="C674">
        <v>3.5300523396965602</v>
      </c>
    </row>
    <row r="675" spans="1:3" x14ac:dyDescent="0.45">
      <c r="A675" s="28">
        <v>7290108357288</v>
      </c>
      <c r="B675" s="29">
        <v>45822</v>
      </c>
      <c r="C675">
        <v>8.2017601333818995</v>
      </c>
    </row>
    <row r="676" spans="1:3" x14ac:dyDescent="0.45">
      <c r="A676" s="28">
        <v>7290108357844</v>
      </c>
      <c r="B676" s="29">
        <v>45822</v>
      </c>
      <c r="C676">
        <v>4.1611807203707096</v>
      </c>
    </row>
    <row r="677" spans="1:3" x14ac:dyDescent="0.45">
      <c r="A677" s="28">
        <v>7290108359077</v>
      </c>
      <c r="B677" s="29">
        <v>45822</v>
      </c>
      <c r="C677">
        <v>3.3677997197405598</v>
      </c>
    </row>
    <row r="678" spans="1:3" x14ac:dyDescent="0.45">
      <c r="A678" s="28">
        <v>7290108359176</v>
      </c>
      <c r="B678" s="29">
        <v>45822</v>
      </c>
      <c r="C678">
        <v>3.38167605823981</v>
      </c>
    </row>
    <row r="679" spans="1:3" x14ac:dyDescent="0.45">
      <c r="A679" s="28">
        <v>7290108359190</v>
      </c>
      <c r="B679" s="29">
        <v>45822</v>
      </c>
      <c r="C679">
        <v>3.38504409980081</v>
      </c>
    </row>
    <row r="680" spans="1:3" x14ac:dyDescent="0.45">
      <c r="A680" s="28">
        <v>8001090184375</v>
      </c>
      <c r="B680" s="29">
        <v>45822</v>
      </c>
      <c r="C680">
        <v>3.4444303084347401</v>
      </c>
    </row>
    <row r="681" spans="1:3" x14ac:dyDescent="0.45">
      <c r="A681" s="28">
        <v>8001090184412</v>
      </c>
      <c r="B681" s="29">
        <v>45822</v>
      </c>
      <c r="C681">
        <v>8.1941449313571404</v>
      </c>
    </row>
    <row r="682" spans="1:3" x14ac:dyDescent="0.45">
      <c r="A682" s="28">
        <v>8001841625362</v>
      </c>
      <c r="B682" s="29">
        <v>45822</v>
      </c>
      <c r="C682">
        <v>3.6477774735697199</v>
      </c>
    </row>
    <row r="683" spans="1:3" x14ac:dyDescent="0.45">
      <c r="A683" s="28">
        <v>8001841893990</v>
      </c>
      <c r="B683" s="29">
        <v>45822</v>
      </c>
      <c r="C683">
        <v>3.3596518899719898</v>
      </c>
    </row>
    <row r="684" spans="1:3" x14ac:dyDescent="0.45">
      <c r="A684" s="28">
        <v>8006540429327</v>
      </c>
      <c r="B684" s="29">
        <v>45822</v>
      </c>
      <c r="C684">
        <v>8.2551510781061399</v>
      </c>
    </row>
    <row r="685" spans="1:3" x14ac:dyDescent="0.45">
      <c r="A685" s="28">
        <v>8700216163811</v>
      </c>
      <c r="B685" s="29">
        <v>45822</v>
      </c>
      <c r="C685">
        <v>8.3322349266486295</v>
      </c>
    </row>
    <row r="686" spans="1:3" x14ac:dyDescent="0.45">
      <c r="A686" s="28">
        <v>8700216236034</v>
      </c>
      <c r="B686" s="29">
        <v>45822</v>
      </c>
      <c r="C686">
        <v>3.5013011553483402</v>
      </c>
    </row>
    <row r="687" spans="1:3" x14ac:dyDescent="0.45">
      <c r="A687" s="28">
        <v>8700216236751</v>
      </c>
      <c r="B687" s="29">
        <v>45822</v>
      </c>
      <c r="C687">
        <v>3.6469401290393302</v>
      </c>
    </row>
    <row r="688" spans="1:3" x14ac:dyDescent="0.45">
      <c r="A688" s="28">
        <v>4084500088917</v>
      </c>
      <c r="B688" s="29">
        <v>45823</v>
      </c>
      <c r="C688">
        <v>4.2005430397281902</v>
      </c>
    </row>
    <row r="689" spans="1:3" x14ac:dyDescent="0.45">
      <c r="A689" s="28">
        <v>4084500853836</v>
      </c>
      <c r="B689" s="29">
        <v>45823</v>
      </c>
      <c r="C689">
        <v>4.19110906717916</v>
      </c>
    </row>
    <row r="690" spans="1:3" x14ac:dyDescent="0.45">
      <c r="A690" s="28">
        <v>7290000286921</v>
      </c>
      <c r="B690" s="29">
        <v>45823</v>
      </c>
      <c r="C690">
        <v>1.32245141760748</v>
      </c>
    </row>
    <row r="691" spans="1:3" x14ac:dyDescent="0.45">
      <c r="A691" s="28">
        <v>7290000288024</v>
      </c>
      <c r="B691" s="29">
        <v>45823</v>
      </c>
      <c r="C691">
        <v>4.2299322177998304</v>
      </c>
    </row>
    <row r="692" spans="1:3" x14ac:dyDescent="0.45">
      <c r="A692" s="28">
        <v>7290000288307</v>
      </c>
      <c r="B692" s="29">
        <v>45823</v>
      </c>
      <c r="C692">
        <v>1.21581453211719</v>
      </c>
    </row>
    <row r="693" spans="1:3" x14ac:dyDescent="0.45">
      <c r="A693" s="28">
        <v>7290000288659</v>
      </c>
      <c r="B693" s="29">
        <v>45823</v>
      </c>
      <c r="C693">
        <v>1.21378588921742</v>
      </c>
    </row>
    <row r="694" spans="1:3" x14ac:dyDescent="0.45">
      <c r="A694" s="28">
        <v>7290000292915</v>
      </c>
      <c r="B694" s="29">
        <v>45823</v>
      </c>
      <c r="C694">
        <v>1.9504898689889101</v>
      </c>
    </row>
    <row r="695" spans="1:3" x14ac:dyDescent="0.45">
      <c r="A695" s="28">
        <v>7290000294780</v>
      </c>
      <c r="B695" s="29">
        <v>45823</v>
      </c>
      <c r="C695">
        <v>4.1795488724362402</v>
      </c>
    </row>
    <row r="696" spans="1:3" x14ac:dyDescent="0.45">
      <c r="A696" s="28">
        <v>7290000295367</v>
      </c>
      <c r="B696" s="29">
        <v>45823</v>
      </c>
      <c r="C696">
        <v>1.7668677508136399</v>
      </c>
    </row>
    <row r="697" spans="1:3" x14ac:dyDescent="0.45">
      <c r="A697" s="28">
        <v>7290000295541</v>
      </c>
      <c r="B697" s="29">
        <v>45823</v>
      </c>
      <c r="C697">
        <v>1.21851255968635</v>
      </c>
    </row>
    <row r="698" spans="1:3" x14ac:dyDescent="0.45">
      <c r="A698" s="28">
        <v>7290001246610</v>
      </c>
      <c r="B698" s="29">
        <v>45823</v>
      </c>
      <c r="C698">
        <v>1.7734305948460101</v>
      </c>
    </row>
    <row r="699" spans="1:3" x14ac:dyDescent="0.45">
      <c r="A699" s="28">
        <v>7290005424700</v>
      </c>
      <c r="B699" s="29">
        <v>45823</v>
      </c>
      <c r="C699">
        <v>1.9776703530331701</v>
      </c>
    </row>
    <row r="700" spans="1:3" x14ac:dyDescent="0.45">
      <c r="A700" s="28">
        <v>7290005425110</v>
      </c>
      <c r="B700" s="29">
        <v>45823</v>
      </c>
      <c r="C700">
        <v>1.9040390407955901</v>
      </c>
    </row>
    <row r="701" spans="1:3" x14ac:dyDescent="0.45">
      <c r="A701" s="28">
        <v>7290005425196</v>
      </c>
      <c r="B701" s="29">
        <v>45823</v>
      </c>
      <c r="C701">
        <v>1.7610651523740299</v>
      </c>
    </row>
    <row r="702" spans="1:3" x14ac:dyDescent="0.45">
      <c r="A702" s="28">
        <v>7290012116025</v>
      </c>
      <c r="B702" s="29">
        <v>45823</v>
      </c>
      <c r="C702">
        <v>1.9664437397813599</v>
      </c>
    </row>
    <row r="703" spans="1:3" x14ac:dyDescent="0.45">
      <c r="A703" s="28">
        <v>7290012117534</v>
      </c>
      <c r="B703" s="29">
        <v>45823</v>
      </c>
      <c r="C703">
        <v>1.75882131398357</v>
      </c>
    </row>
    <row r="704" spans="1:3" x14ac:dyDescent="0.45">
      <c r="A704" s="28">
        <v>7290013268204</v>
      </c>
      <c r="B704" s="29">
        <v>45823</v>
      </c>
      <c r="C704">
        <v>1.2293883823729099</v>
      </c>
    </row>
    <row r="705" spans="1:3" x14ac:dyDescent="0.45">
      <c r="A705" s="28">
        <v>7290013268891</v>
      </c>
      <c r="B705" s="29">
        <v>45823</v>
      </c>
      <c r="C705">
        <v>1.7760616567918399</v>
      </c>
    </row>
    <row r="706" spans="1:3" x14ac:dyDescent="0.45">
      <c r="A706" s="28">
        <v>7290013269003</v>
      </c>
      <c r="B706" s="29">
        <v>45823</v>
      </c>
      <c r="C706">
        <v>1.7440432466008899</v>
      </c>
    </row>
    <row r="707" spans="1:3" x14ac:dyDescent="0.45">
      <c r="A707" s="28">
        <v>7290014397453</v>
      </c>
      <c r="B707" s="29">
        <v>45823</v>
      </c>
      <c r="C707">
        <v>1.77135818512659</v>
      </c>
    </row>
    <row r="708" spans="1:3" x14ac:dyDescent="0.45">
      <c r="A708" s="28">
        <v>7290019274483</v>
      </c>
      <c r="B708" s="29">
        <v>45823</v>
      </c>
      <c r="C708">
        <v>1.7626200868965001</v>
      </c>
    </row>
    <row r="709" spans="1:3" x14ac:dyDescent="0.45">
      <c r="A709" s="28">
        <v>7290019274490</v>
      </c>
      <c r="B709" s="29">
        <v>45823</v>
      </c>
      <c r="C709">
        <v>1.7518229228368201</v>
      </c>
    </row>
    <row r="710" spans="1:3" x14ac:dyDescent="0.45">
      <c r="A710" s="28">
        <v>7290019611325</v>
      </c>
      <c r="B710" s="29">
        <v>45823</v>
      </c>
      <c r="C710">
        <v>1.74307596287453</v>
      </c>
    </row>
    <row r="711" spans="1:3" x14ac:dyDescent="0.45">
      <c r="A711" s="28">
        <v>7290103702489</v>
      </c>
      <c r="B711" s="29">
        <v>45823</v>
      </c>
      <c r="C711">
        <v>4.1885631725278403</v>
      </c>
    </row>
    <row r="712" spans="1:3" x14ac:dyDescent="0.45">
      <c r="A712" s="28">
        <v>7290103703370</v>
      </c>
      <c r="B712" s="29">
        <v>45823</v>
      </c>
      <c r="C712">
        <v>4.2064366290760704</v>
      </c>
    </row>
    <row r="713" spans="1:3" x14ac:dyDescent="0.45">
      <c r="A713" s="28">
        <v>7290103704155</v>
      </c>
      <c r="B713" s="29">
        <v>45823</v>
      </c>
      <c r="C713">
        <v>4.1778722472194803</v>
      </c>
    </row>
    <row r="714" spans="1:3" x14ac:dyDescent="0.45">
      <c r="A714" s="28">
        <v>7290103704179</v>
      </c>
      <c r="B714" s="29">
        <v>45823</v>
      </c>
      <c r="C714">
        <v>4.2079251410531704</v>
      </c>
    </row>
    <row r="715" spans="1:3" x14ac:dyDescent="0.45">
      <c r="A715" s="28">
        <v>7290103704919</v>
      </c>
      <c r="B715" s="29">
        <v>45823</v>
      </c>
      <c r="C715">
        <v>4.1774663754573904</v>
      </c>
    </row>
    <row r="716" spans="1:3" x14ac:dyDescent="0.45">
      <c r="A716" s="28">
        <v>7290107280099</v>
      </c>
      <c r="B716" s="29">
        <v>45823</v>
      </c>
      <c r="C716">
        <v>1.2250064376612599</v>
      </c>
    </row>
    <row r="717" spans="1:3" x14ac:dyDescent="0.45">
      <c r="A717" s="28">
        <v>7290108351699</v>
      </c>
      <c r="B717" s="29">
        <v>45823</v>
      </c>
      <c r="C717">
        <v>1.97116295675054</v>
      </c>
    </row>
    <row r="718" spans="1:3" x14ac:dyDescent="0.45">
      <c r="A718" s="28">
        <v>7290108352702</v>
      </c>
      <c r="B718" s="29">
        <v>45823</v>
      </c>
      <c r="C718">
        <v>1.2089688741281599</v>
      </c>
    </row>
    <row r="719" spans="1:3" x14ac:dyDescent="0.45">
      <c r="A719" s="28">
        <v>7290108356298</v>
      </c>
      <c r="B719" s="29">
        <v>45823</v>
      </c>
      <c r="C719">
        <v>1.9436323437873599</v>
      </c>
    </row>
    <row r="720" spans="1:3" x14ac:dyDescent="0.45">
      <c r="A720" s="28">
        <v>7290108356700</v>
      </c>
      <c r="B720" s="29">
        <v>45823</v>
      </c>
      <c r="C720">
        <v>1.21813370837487</v>
      </c>
    </row>
    <row r="721" spans="1:3" x14ac:dyDescent="0.45">
      <c r="A721" s="28">
        <v>7290108356717</v>
      </c>
      <c r="B721" s="29">
        <v>45823</v>
      </c>
      <c r="C721">
        <v>1.92910692758131</v>
      </c>
    </row>
    <row r="722" spans="1:3" x14ac:dyDescent="0.45">
      <c r="A722" s="28">
        <v>7290108356724</v>
      </c>
      <c r="B722" s="29">
        <v>45823</v>
      </c>
      <c r="C722">
        <v>1.9325439463259</v>
      </c>
    </row>
    <row r="723" spans="1:3" x14ac:dyDescent="0.45">
      <c r="A723" s="28">
        <v>7290108357240</v>
      </c>
      <c r="B723" s="29">
        <v>45823</v>
      </c>
      <c r="C723">
        <v>1.7640132493893299</v>
      </c>
    </row>
    <row r="724" spans="1:3" x14ac:dyDescent="0.45">
      <c r="A724" s="28">
        <v>7290108357288</v>
      </c>
      <c r="B724" s="29">
        <v>45823</v>
      </c>
      <c r="C724">
        <v>4.19183204759499</v>
      </c>
    </row>
    <row r="725" spans="1:3" x14ac:dyDescent="0.45">
      <c r="A725" s="28">
        <v>7290108357844</v>
      </c>
      <c r="B725" s="29">
        <v>45823</v>
      </c>
      <c r="C725">
        <v>1.95795043874387</v>
      </c>
    </row>
    <row r="726" spans="1:3" x14ac:dyDescent="0.45">
      <c r="A726" s="28">
        <v>7290108359077</v>
      </c>
      <c r="B726" s="29">
        <v>45823</v>
      </c>
      <c r="C726">
        <v>1.2098983478365499</v>
      </c>
    </row>
    <row r="727" spans="1:3" x14ac:dyDescent="0.45">
      <c r="A727" s="28">
        <v>7290108359176</v>
      </c>
      <c r="B727" s="29">
        <v>45823</v>
      </c>
      <c r="C727">
        <v>1.2151544318971099</v>
      </c>
    </row>
    <row r="728" spans="1:3" x14ac:dyDescent="0.45">
      <c r="A728" s="28">
        <v>7290108359190</v>
      </c>
      <c r="B728" s="29">
        <v>45823</v>
      </c>
      <c r="C728">
        <v>1.2130514785267501</v>
      </c>
    </row>
    <row r="729" spans="1:3" x14ac:dyDescent="0.45">
      <c r="A729" s="28">
        <v>8001090184375</v>
      </c>
      <c r="B729" s="29">
        <v>45823</v>
      </c>
      <c r="C729">
        <v>1.42033292869081</v>
      </c>
    </row>
    <row r="730" spans="1:3" x14ac:dyDescent="0.45">
      <c r="A730" s="28">
        <v>8001090184412</v>
      </c>
      <c r="B730" s="29">
        <v>45823</v>
      </c>
      <c r="C730">
        <v>4.1544202158170798</v>
      </c>
    </row>
    <row r="731" spans="1:3" x14ac:dyDescent="0.45">
      <c r="A731" s="28">
        <v>8001841625362</v>
      </c>
      <c r="B731" s="29">
        <v>45823</v>
      </c>
      <c r="C731">
        <v>1.7719170835956799</v>
      </c>
    </row>
    <row r="732" spans="1:3" x14ac:dyDescent="0.45">
      <c r="A732" s="28">
        <v>8001841893990</v>
      </c>
      <c r="B732" s="29">
        <v>45823</v>
      </c>
      <c r="C732">
        <v>1.2150334158454299</v>
      </c>
    </row>
    <row r="733" spans="1:3" x14ac:dyDescent="0.45">
      <c r="A733" s="28">
        <v>8006540429327</v>
      </c>
      <c r="B733" s="29">
        <v>45823</v>
      </c>
      <c r="C733">
        <v>4.1541784708175298</v>
      </c>
    </row>
    <row r="734" spans="1:3" x14ac:dyDescent="0.45">
      <c r="A734" s="28">
        <v>8700216163811</v>
      </c>
      <c r="B734" s="29">
        <v>45823</v>
      </c>
      <c r="C734">
        <v>4.1449574418996704</v>
      </c>
    </row>
    <row r="735" spans="1:3" x14ac:dyDescent="0.45">
      <c r="A735" s="28">
        <v>8700216236034</v>
      </c>
      <c r="B735" s="29">
        <v>45823</v>
      </c>
      <c r="C735">
        <v>1.4404991827079701</v>
      </c>
    </row>
    <row r="736" spans="1:3" x14ac:dyDescent="0.45">
      <c r="A736" s="28">
        <v>8700216236751</v>
      </c>
      <c r="B736" s="29">
        <v>45823</v>
      </c>
      <c r="C736">
        <v>1.7579145716903299</v>
      </c>
    </row>
    <row r="737" spans="1:3" x14ac:dyDescent="0.45">
      <c r="A737" s="28">
        <v>4084500088917</v>
      </c>
      <c r="B737" s="29">
        <v>45824</v>
      </c>
      <c r="C737">
        <v>4.2005430397281902</v>
      </c>
    </row>
    <row r="738" spans="1:3" x14ac:dyDescent="0.45">
      <c r="A738" s="28">
        <v>4084500853836</v>
      </c>
      <c r="B738" s="29">
        <v>45824</v>
      </c>
      <c r="C738">
        <v>4.19110906717916</v>
      </c>
    </row>
    <row r="739" spans="1:3" x14ac:dyDescent="0.45">
      <c r="A739" s="28">
        <v>7290000286921</v>
      </c>
      <c r="B739" s="29">
        <v>45824</v>
      </c>
      <c r="C739">
        <v>1.32245141760748</v>
      </c>
    </row>
    <row r="740" spans="1:3" x14ac:dyDescent="0.45">
      <c r="A740" s="28">
        <v>7290000288024</v>
      </c>
      <c r="B740" s="29">
        <v>45824</v>
      </c>
      <c r="C740">
        <v>4.2299322177998304</v>
      </c>
    </row>
    <row r="741" spans="1:3" x14ac:dyDescent="0.45">
      <c r="A741" s="28">
        <v>7290000288307</v>
      </c>
      <c r="B741" s="29">
        <v>45824</v>
      </c>
      <c r="C741">
        <v>1.21581453211719</v>
      </c>
    </row>
    <row r="742" spans="1:3" x14ac:dyDescent="0.45">
      <c r="A742" s="28">
        <v>7290000288659</v>
      </c>
      <c r="B742" s="29">
        <v>45824</v>
      </c>
      <c r="C742">
        <v>1.21378588921742</v>
      </c>
    </row>
    <row r="743" spans="1:3" x14ac:dyDescent="0.45">
      <c r="A743" s="28">
        <v>7290000292915</v>
      </c>
      <c r="B743" s="29">
        <v>45824</v>
      </c>
      <c r="C743">
        <v>1.9504898689889101</v>
      </c>
    </row>
    <row r="744" spans="1:3" x14ac:dyDescent="0.45">
      <c r="A744" s="28">
        <v>7290000294780</v>
      </c>
      <c r="B744" s="29">
        <v>45824</v>
      </c>
      <c r="C744">
        <v>4.1795488724362402</v>
      </c>
    </row>
    <row r="745" spans="1:3" x14ac:dyDescent="0.45">
      <c r="A745" s="28">
        <v>7290000295367</v>
      </c>
      <c r="B745" s="29">
        <v>45824</v>
      </c>
      <c r="C745">
        <v>1.7668677508136399</v>
      </c>
    </row>
    <row r="746" spans="1:3" x14ac:dyDescent="0.45">
      <c r="A746" s="28">
        <v>7290000295541</v>
      </c>
      <c r="B746" s="29">
        <v>45824</v>
      </c>
      <c r="C746">
        <v>1.21851255968635</v>
      </c>
    </row>
    <row r="747" spans="1:3" x14ac:dyDescent="0.45">
      <c r="A747" s="28">
        <v>7290001246610</v>
      </c>
      <c r="B747" s="29">
        <v>45824</v>
      </c>
      <c r="C747">
        <v>1.7734305948460101</v>
      </c>
    </row>
    <row r="748" spans="1:3" x14ac:dyDescent="0.45">
      <c r="A748" s="28">
        <v>7290005424700</v>
      </c>
      <c r="B748" s="29">
        <v>45824</v>
      </c>
      <c r="C748">
        <v>1.9776703530331701</v>
      </c>
    </row>
    <row r="749" spans="1:3" x14ac:dyDescent="0.45">
      <c r="A749" s="28">
        <v>7290005425110</v>
      </c>
      <c r="B749" s="29">
        <v>45824</v>
      </c>
      <c r="C749">
        <v>1.9040390407955901</v>
      </c>
    </row>
    <row r="750" spans="1:3" x14ac:dyDescent="0.45">
      <c r="A750" s="28">
        <v>7290005425196</v>
      </c>
      <c r="B750" s="29">
        <v>45824</v>
      </c>
      <c r="C750">
        <v>1.7610651523740299</v>
      </c>
    </row>
    <row r="751" spans="1:3" x14ac:dyDescent="0.45">
      <c r="A751" s="28">
        <v>7290012116025</v>
      </c>
      <c r="B751" s="29">
        <v>45824</v>
      </c>
      <c r="C751">
        <v>1.9664437397813599</v>
      </c>
    </row>
    <row r="752" spans="1:3" x14ac:dyDescent="0.45">
      <c r="A752" s="28">
        <v>7290012117534</v>
      </c>
      <c r="B752" s="29">
        <v>45824</v>
      </c>
      <c r="C752">
        <v>1.75882131398357</v>
      </c>
    </row>
    <row r="753" spans="1:3" x14ac:dyDescent="0.45">
      <c r="A753" s="28">
        <v>7290013268204</v>
      </c>
      <c r="B753" s="29">
        <v>45824</v>
      </c>
      <c r="C753">
        <v>1.2293883823729099</v>
      </c>
    </row>
    <row r="754" spans="1:3" x14ac:dyDescent="0.45">
      <c r="A754" s="28">
        <v>7290013268891</v>
      </c>
      <c r="B754" s="29">
        <v>45824</v>
      </c>
      <c r="C754">
        <v>1.7760616567918399</v>
      </c>
    </row>
    <row r="755" spans="1:3" x14ac:dyDescent="0.45">
      <c r="A755" s="28">
        <v>7290013269003</v>
      </c>
      <c r="B755" s="29">
        <v>45824</v>
      </c>
      <c r="C755">
        <v>1.7440432466008899</v>
      </c>
    </row>
    <row r="756" spans="1:3" x14ac:dyDescent="0.45">
      <c r="A756" s="28">
        <v>7290014397453</v>
      </c>
      <c r="B756" s="29">
        <v>45824</v>
      </c>
      <c r="C756">
        <v>1.77135818512659</v>
      </c>
    </row>
    <row r="757" spans="1:3" x14ac:dyDescent="0.45">
      <c r="A757" s="28">
        <v>7290019274483</v>
      </c>
      <c r="B757" s="29">
        <v>45824</v>
      </c>
      <c r="C757">
        <v>1.7626200868965001</v>
      </c>
    </row>
    <row r="758" spans="1:3" x14ac:dyDescent="0.45">
      <c r="A758" s="28">
        <v>7290019274490</v>
      </c>
      <c r="B758" s="29">
        <v>45824</v>
      </c>
      <c r="C758">
        <v>1.7518229228368201</v>
      </c>
    </row>
    <row r="759" spans="1:3" x14ac:dyDescent="0.45">
      <c r="A759" s="28">
        <v>7290019611325</v>
      </c>
      <c r="B759" s="29">
        <v>45824</v>
      </c>
      <c r="C759">
        <v>1.74307596287453</v>
      </c>
    </row>
    <row r="760" spans="1:3" x14ac:dyDescent="0.45">
      <c r="A760" s="28">
        <v>7290103702489</v>
      </c>
      <c r="B760" s="29">
        <v>45824</v>
      </c>
      <c r="C760">
        <v>4.1885631725278403</v>
      </c>
    </row>
    <row r="761" spans="1:3" x14ac:dyDescent="0.45">
      <c r="A761" s="28">
        <v>7290103703370</v>
      </c>
      <c r="B761" s="29">
        <v>45824</v>
      </c>
      <c r="C761">
        <v>4.2064366290760704</v>
      </c>
    </row>
    <row r="762" spans="1:3" x14ac:dyDescent="0.45">
      <c r="A762" s="28">
        <v>7290103704155</v>
      </c>
      <c r="B762" s="29">
        <v>45824</v>
      </c>
      <c r="C762">
        <v>4.1778722472194803</v>
      </c>
    </row>
    <row r="763" spans="1:3" x14ac:dyDescent="0.45">
      <c r="A763" s="28">
        <v>7290103704179</v>
      </c>
      <c r="B763" s="29">
        <v>45824</v>
      </c>
      <c r="C763">
        <v>4.2079251410531704</v>
      </c>
    </row>
    <row r="764" spans="1:3" x14ac:dyDescent="0.45">
      <c r="A764" s="28">
        <v>7290103704919</v>
      </c>
      <c r="B764" s="29">
        <v>45824</v>
      </c>
      <c r="C764">
        <v>4.1774663754573904</v>
      </c>
    </row>
    <row r="765" spans="1:3" x14ac:dyDescent="0.45">
      <c r="A765" s="28">
        <v>7290107280099</v>
      </c>
      <c r="B765" s="29">
        <v>45824</v>
      </c>
      <c r="C765">
        <v>1.2250064376612599</v>
      </c>
    </row>
    <row r="766" spans="1:3" x14ac:dyDescent="0.45">
      <c r="A766" s="28">
        <v>7290108351699</v>
      </c>
      <c r="B766" s="29">
        <v>45824</v>
      </c>
      <c r="C766">
        <v>1.97116295675054</v>
      </c>
    </row>
    <row r="767" spans="1:3" x14ac:dyDescent="0.45">
      <c r="A767" s="28">
        <v>7290108352702</v>
      </c>
      <c r="B767" s="29">
        <v>45824</v>
      </c>
      <c r="C767">
        <v>1.2089688741281599</v>
      </c>
    </row>
    <row r="768" spans="1:3" x14ac:dyDescent="0.45">
      <c r="A768" s="28">
        <v>7290108356298</v>
      </c>
      <c r="B768" s="29">
        <v>45824</v>
      </c>
      <c r="C768">
        <v>1.9436323437873599</v>
      </c>
    </row>
    <row r="769" spans="1:3" x14ac:dyDescent="0.45">
      <c r="A769" s="28">
        <v>7290108356700</v>
      </c>
      <c r="B769" s="29">
        <v>45824</v>
      </c>
      <c r="C769">
        <v>1.21813370837487</v>
      </c>
    </row>
    <row r="770" spans="1:3" x14ac:dyDescent="0.45">
      <c r="A770" s="28">
        <v>7290108356717</v>
      </c>
      <c r="B770" s="29">
        <v>45824</v>
      </c>
      <c r="C770">
        <v>1.92910692758131</v>
      </c>
    </row>
    <row r="771" spans="1:3" x14ac:dyDescent="0.45">
      <c r="A771" s="28">
        <v>7290108356724</v>
      </c>
      <c r="B771" s="29">
        <v>45824</v>
      </c>
      <c r="C771">
        <v>1.9325439463259</v>
      </c>
    </row>
    <row r="772" spans="1:3" x14ac:dyDescent="0.45">
      <c r="A772" s="28">
        <v>7290108357240</v>
      </c>
      <c r="B772" s="29">
        <v>45824</v>
      </c>
      <c r="C772">
        <v>1.7640132493893299</v>
      </c>
    </row>
    <row r="773" spans="1:3" x14ac:dyDescent="0.45">
      <c r="A773" s="28">
        <v>7290108357288</v>
      </c>
      <c r="B773" s="29">
        <v>45824</v>
      </c>
      <c r="C773">
        <v>4.19183204759499</v>
      </c>
    </row>
    <row r="774" spans="1:3" x14ac:dyDescent="0.45">
      <c r="A774" s="28">
        <v>7290108357844</v>
      </c>
      <c r="B774" s="29">
        <v>45824</v>
      </c>
      <c r="C774">
        <v>1.95795043874387</v>
      </c>
    </row>
    <row r="775" spans="1:3" x14ac:dyDescent="0.45">
      <c r="A775" s="28">
        <v>7290108359077</v>
      </c>
      <c r="B775" s="29">
        <v>45824</v>
      </c>
      <c r="C775">
        <v>1.2098983478365499</v>
      </c>
    </row>
    <row r="776" spans="1:3" x14ac:dyDescent="0.45">
      <c r="A776" s="28">
        <v>7290108359176</v>
      </c>
      <c r="B776" s="29">
        <v>45824</v>
      </c>
      <c r="C776">
        <v>1.2151544318971099</v>
      </c>
    </row>
    <row r="777" spans="1:3" x14ac:dyDescent="0.45">
      <c r="A777" s="28">
        <v>7290108359190</v>
      </c>
      <c r="B777" s="29">
        <v>45824</v>
      </c>
      <c r="C777">
        <v>1.2130514785267501</v>
      </c>
    </row>
    <row r="778" spans="1:3" x14ac:dyDescent="0.45">
      <c r="A778" s="28">
        <v>8001090184375</v>
      </c>
      <c r="B778" s="29">
        <v>45824</v>
      </c>
      <c r="C778">
        <v>1.42033292869081</v>
      </c>
    </row>
    <row r="779" spans="1:3" x14ac:dyDescent="0.45">
      <c r="A779" s="28">
        <v>8001090184412</v>
      </c>
      <c r="B779" s="29">
        <v>45824</v>
      </c>
      <c r="C779">
        <v>4.1544202158170798</v>
      </c>
    </row>
    <row r="780" spans="1:3" x14ac:dyDescent="0.45">
      <c r="A780" s="28">
        <v>8001841625362</v>
      </c>
      <c r="B780" s="29">
        <v>45824</v>
      </c>
      <c r="C780">
        <v>1.7719170835956799</v>
      </c>
    </row>
    <row r="781" spans="1:3" x14ac:dyDescent="0.45">
      <c r="A781" s="28">
        <v>8001841893990</v>
      </c>
      <c r="B781" s="29">
        <v>45824</v>
      </c>
      <c r="C781">
        <v>1.2150334158454299</v>
      </c>
    </row>
    <row r="782" spans="1:3" x14ac:dyDescent="0.45">
      <c r="A782" s="28">
        <v>8006540429327</v>
      </c>
      <c r="B782" s="29">
        <v>45824</v>
      </c>
      <c r="C782">
        <v>4.1541784708175298</v>
      </c>
    </row>
    <row r="783" spans="1:3" x14ac:dyDescent="0.45">
      <c r="A783" s="28">
        <v>8700216163811</v>
      </c>
      <c r="B783" s="29">
        <v>45824</v>
      </c>
      <c r="C783">
        <v>4.1449574418996704</v>
      </c>
    </row>
    <row r="784" spans="1:3" x14ac:dyDescent="0.45">
      <c r="A784" s="28">
        <v>8700216236034</v>
      </c>
      <c r="B784" s="29">
        <v>45824</v>
      </c>
      <c r="C784">
        <v>1.4404991827079701</v>
      </c>
    </row>
    <row r="785" spans="1:3" x14ac:dyDescent="0.45">
      <c r="A785" s="28">
        <v>8700216236751</v>
      </c>
      <c r="B785" s="29">
        <v>45824</v>
      </c>
      <c r="C785">
        <v>1.7579145716903299</v>
      </c>
    </row>
    <row r="786" spans="1:3" x14ac:dyDescent="0.45">
      <c r="A786" s="28">
        <v>4084500088917</v>
      </c>
      <c r="B786" s="29">
        <v>45825</v>
      </c>
      <c r="C786">
        <v>4.2005430397281902</v>
      </c>
    </row>
    <row r="787" spans="1:3" x14ac:dyDescent="0.45">
      <c r="A787" s="28">
        <v>4084500853836</v>
      </c>
      <c r="B787" s="29">
        <v>45825</v>
      </c>
      <c r="C787">
        <v>4.19110906717916</v>
      </c>
    </row>
    <row r="788" spans="1:3" x14ac:dyDescent="0.45">
      <c r="A788" s="28">
        <v>7290000286921</v>
      </c>
      <c r="B788" s="29">
        <v>45825</v>
      </c>
      <c r="C788">
        <v>1.32245141760748</v>
      </c>
    </row>
    <row r="789" spans="1:3" x14ac:dyDescent="0.45">
      <c r="A789" s="28">
        <v>7290000288024</v>
      </c>
      <c r="B789" s="29">
        <v>45825</v>
      </c>
      <c r="C789">
        <v>4.2299322177998304</v>
      </c>
    </row>
    <row r="790" spans="1:3" x14ac:dyDescent="0.45">
      <c r="A790" s="28">
        <v>7290000288307</v>
      </c>
      <c r="B790" s="29">
        <v>45825</v>
      </c>
      <c r="C790">
        <v>1.21581453211719</v>
      </c>
    </row>
    <row r="791" spans="1:3" x14ac:dyDescent="0.45">
      <c r="A791" s="28">
        <v>7290000288659</v>
      </c>
      <c r="B791" s="29">
        <v>45825</v>
      </c>
      <c r="C791">
        <v>1.21378588921742</v>
      </c>
    </row>
    <row r="792" spans="1:3" x14ac:dyDescent="0.45">
      <c r="A792" s="28">
        <v>7290000292915</v>
      </c>
      <c r="B792" s="29">
        <v>45825</v>
      </c>
      <c r="C792">
        <v>1.9504898689889101</v>
      </c>
    </row>
    <row r="793" spans="1:3" x14ac:dyDescent="0.45">
      <c r="A793" s="28">
        <v>7290000294780</v>
      </c>
      <c r="B793" s="29">
        <v>45825</v>
      </c>
      <c r="C793">
        <v>4.1795488724362402</v>
      </c>
    </row>
    <row r="794" spans="1:3" x14ac:dyDescent="0.45">
      <c r="A794" s="28">
        <v>7290000295367</v>
      </c>
      <c r="B794" s="29">
        <v>45825</v>
      </c>
      <c r="C794">
        <v>1.7668677508136399</v>
      </c>
    </row>
    <row r="795" spans="1:3" x14ac:dyDescent="0.45">
      <c r="A795" s="28">
        <v>7290000295541</v>
      </c>
      <c r="B795" s="29">
        <v>45825</v>
      </c>
      <c r="C795">
        <v>1.21851255968635</v>
      </c>
    </row>
    <row r="796" spans="1:3" x14ac:dyDescent="0.45">
      <c r="A796" s="28">
        <v>7290001246610</v>
      </c>
      <c r="B796" s="29">
        <v>45825</v>
      </c>
      <c r="C796">
        <v>1.7734305948460101</v>
      </c>
    </row>
    <row r="797" spans="1:3" x14ac:dyDescent="0.45">
      <c r="A797" s="28">
        <v>7290005424700</v>
      </c>
      <c r="B797" s="29">
        <v>45825</v>
      </c>
      <c r="C797">
        <v>1.9776703530331701</v>
      </c>
    </row>
    <row r="798" spans="1:3" x14ac:dyDescent="0.45">
      <c r="A798" s="28">
        <v>7290005425110</v>
      </c>
      <c r="B798" s="29">
        <v>45825</v>
      </c>
      <c r="C798">
        <v>1.9040390407955901</v>
      </c>
    </row>
    <row r="799" spans="1:3" x14ac:dyDescent="0.45">
      <c r="A799" s="28">
        <v>7290005425196</v>
      </c>
      <c r="B799" s="29">
        <v>45825</v>
      </c>
      <c r="C799">
        <v>1.7610651523740299</v>
      </c>
    </row>
    <row r="800" spans="1:3" x14ac:dyDescent="0.45">
      <c r="A800" s="28">
        <v>7290012116025</v>
      </c>
      <c r="B800" s="29">
        <v>45825</v>
      </c>
      <c r="C800">
        <v>1.9664437397813599</v>
      </c>
    </row>
    <row r="801" spans="1:3" x14ac:dyDescent="0.45">
      <c r="A801" s="28">
        <v>7290012117534</v>
      </c>
      <c r="B801" s="29">
        <v>45825</v>
      </c>
      <c r="C801">
        <v>1.75882131398357</v>
      </c>
    </row>
    <row r="802" spans="1:3" x14ac:dyDescent="0.45">
      <c r="A802" s="28">
        <v>7290013268204</v>
      </c>
      <c r="B802" s="29">
        <v>45825</v>
      </c>
      <c r="C802">
        <v>1.2293883823729099</v>
      </c>
    </row>
    <row r="803" spans="1:3" x14ac:dyDescent="0.45">
      <c r="A803" s="28">
        <v>7290013268891</v>
      </c>
      <c r="B803" s="29">
        <v>45825</v>
      </c>
      <c r="C803">
        <v>1.7760616567918399</v>
      </c>
    </row>
    <row r="804" spans="1:3" x14ac:dyDescent="0.45">
      <c r="A804" s="28">
        <v>7290013269003</v>
      </c>
      <c r="B804" s="29">
        <v>45825</v>
      </c>
      <c r="C804">
        <v>1.7440432466008899</v>
      </c>
    </row>
    <row r="805" spans="1:3" x14ac:dyDescent="0.45">
      <c r="A805" s="28">
        <v>7290014397453</v>
      </c>
      <c r="B805" s="29">
        <v>45825</v>
      </c>
      <c r="C805">
        <v>1.77135818512659</v>
      </c>
    </row>
    <row r="806" spans="1:3" x14ac:dyDescent="0.45">
      <c r="A806" s="28">
        <v>7290019274483</v>
      </c>
      <c r="B806" s="29">
        <v>45825</v>
      </c>
      <c r="C806">
        <v>1.7626200868965001</v>
      </c>
    </row>
    <row r="807" spans="1:3" x14ac:dyDescent="0.45">
      <c r="A807" s="28">
        <v>7290019274490</v>
      </c>
      <c r="B807" s="29">
        <v>45825</v>
      </c>
      <c r="C807">
        <v>1.7518229228368201</v>
      </c>
    </row>
    <row r="808" spans="1:3" x14ac:dyDescent="0.45">
      <c r="A808" s="28">
        <v>7290019611325</v>
      </c>
      <c r="B808" s="29">
        <v>45825</v>
      </c>
      <c r="C808">
        <v>1.74307596287453</v>
      </c>
    </row>
    <row r="809" spans="1:3" x14ac:dyDescent="0.45">
      <c r="A809" s="28">
        <v>7290103702489</v>
      </c>
      <c r="B809" s="29">
        <v>45825</v>
      </c>
      <c r="C809">
        <v>4.1885631725278403</v>
      </c>
    </row>
    <row r="810" spans="1:3" x14ac:dyDescent="0.45">
      <c r="A810" s="28">
        <v>7290103703370</v>
      </c>
      <c r="B810" s="29">
        <v>45825</v>
      </c>
      <c r="C810">
        <v>4.2064366290760704</v>
      </c>
    </row>
    <row r="811" spans="1:3" x14ac:dyDescent="0.45">
      <c r="A811" s="28">
        <v>7290103704155</v>
      </c>
      <c r="B811" s="29">
        <v>45825</v>
      </c>
      <c r="C811">
        <v>4.1778722472194803</v>
      </c>
    </row>
    <row r="812" spans="1:3" x14ac:dyDescent="0.45">
      <c r="A812" s="28">
        <v>7290103704179</v>
      </c>
      <c r="B812" s="29">
        <v>45825</v>
      </c>
      <c r="C812">
        <v>4.2079251410531704</v>
      </c>
    </row>
    <row r="813" spans="1:3" x14ac:dyDescent="0.45">
      <c r="A813" s="28">
        <v>7290103704919</v>
      </c>
      <c r="B813" s="29">
        <v>45825</v>
      </c>
      <c r="C813">
        <v>4.1774663754573904</v>
      </c>
    </row>
    <row r="814" spans="1:3" x14ac:dyDescent="0.45">
      <c r="A814" s="28">
        <v>7290107280099</v>
      </c>
      <c r="B814" s="29">
        <v>45825</v>
      </c>
      <c r="C814">
        <v>1.2250064376612599</v>
      </c>
    </row>
    <row r="815" spans="1:3" x14ac:dyDescent="0.45">
      <c r="A815" s="28">
        <v>7290108351699</v>
      </c>
      <c r="B815" s="29">
        <v>45825</v>
      </c>
      <c r="C815">
        <v>1.97116295675054</v>
      </c>
    </row>
    <row r="816" spans="1:3" x14ac:dyDescent="0.45">
      <c r="A816" s="28">
        <v>7290108352702</v>
      </c>
      <c r="B816" s="29">
        <v>45825</v>
      </c>
      <c r="C816">
        <v>1.2089688741281599</v>
      </c>
    </row>
    <row r="817" spans="1:3" x14ac:dyDescent="0.45">
      <c r="A817" s="28">
        <v>7290108356298</v>
      </c>
      <c r="B817" s="29">
        <v>45825</v>
      </c>
      <c r="C817">
        <v>1.9436323437873599</v>
      </c>
    </row>
    <row r="818" spans="1:3" x14ac:dyDescent="0.45">
      <c r="A818" s="28">
        <v>7290108356700</v>
      </c>
      <c r="B818" s="29">
        <v>45825</v>
      </c>
      <c r="C818">
        <v>1.21813370837487</v>
      </c>
    </row>
    <row r="819" spans="1:3" x14ac:dyDescent="0.45">
      <c r="A819" s="28">
        <v>7290108356717</v>
      </c>
      <c r="B819" s="29">
        <v>45825</v>
      </c>
      <c r="C819">
        <v>1.92910692758131</v>
      </c>
    </row>
    <row r="820" spans="1:3" x14ac:dyDescent="0.45">
      <c r="A820" s="28">
        <v>7290108356724</v>
      </c>
      <c r="B820" s="29">
        <v>45825</v>
      </c>
      <c r="C820">
        <v>1.9325439463259</v>
      </c>
    </row>
    <row r="821" spans="1:3" x14ac:dyDescent="0.45">
      <c r="A821" s="28">
        <v>7290108357240</v>
      </c>
      <c r="B821" s="29">
        <v>45825</v>
      </c>
      <c r="C821">
        <v>1.7640132493893299</v>
      </c>
    </row>
    <row r="822" spans="1:3" x14ac:dyDescent="0.45">
      <c r="A822" s="28">
        <v>7290108357288</v>
      </c>
      <c r="B822" s="29">
        <v>45825</v>
      </c>
      <c r="C822">
        <v>4.19183204759499</v>
      </c>
    </row>
    <row r="823" spans="1:3" x14ac:dyDescent="0.45">
      <c r="A823" s="28">
        <v>7290108357844</v>
      </c>
      <c r="B823" s="29">
        <v>45825</v>
      </c>
      <c r="C823">
        <v>1.95795043874387</v>
      </c>
    </row>
    <row r="824" spans="1:3" x14ac:dyDescent="0.45">
      <c r="A824" s="28">
        <v>7290108359077</v>
      </c>
      <c r="B824" s="29">
        <v>45825</v>
      </c>
      <c r="C824">
        <v>1.2098983478365499</v>
      </c>
    </row>
    <row r="825" spans="1:3" x14ac:dyDescent="0.45">
      <c r="A825" s="28">
        <v>7290108359176</v>
      </c>
      <c r="B825" s="29">
        <v>45825</v>
      </c>
      <c r="C825">
        <v>1.2151544318971099</v>
      </c>
    </row>
    <row r="826" spans="1:3" x14ac:dyDescent="0.45">
      <c r="A826" s="28">
        <v>7290108359190</v>
      </c>
      <c r="B826" s="29">
        <v>45825</v>
      </c>
      <c r="C826">
        <v>1.2130514785267501</v>
      </c>
    </row>
    <row r="827" spans="1:3" x14ac:dyDescent="0.45">
      <c r="A827" s="28">
        <v>8001090184375</v>
      </c>
      <c r="B827" s="29">
        <v>45825</v>
      </c>
      <c r="C827">
        <v>1.42033292869081</v>
      </c>
    </row>
    <row r="828" spans="1:3" x14ac:dyDescent="0.45">
      <c r="A828" s="28">
        <v>8001090184412</v>
      </c>
      <c r="B828" s="29">
        <v>45825</v>
      </c>
      <c r="C828">
        <v>4.1544202158170798</v>
      </c>
    </row>
    <row r="829" spans="1:3" x14ac:dyDescent="0.45">
      <c r="A829" s="28">
        <v>8001841625362</v>
      </c>
      <c r="B829" s="29">
        <v>45825</v>
      </c>
      <c r="C829">
        <v>1.7719170835956799</v>
      </c>
    </row>
    <row r="830" spans="1:3" x14ac:dyDescent="0.45">
      <c r="A830" s="28">
        <v>8001841893990</v>
      </c>
      <c r="B830" s="29">
        <v>45825</v>
      </c>
      <c r="C830">
        <v>1.2150334158454299</v>
      </c>
    </row>
    <row r="831" spans="1:3" x14ac:dyDescent="0.45">
      <c r="A831" s="28">
        <v>8006540429327</v>
      </c>
      <c r="B831" s="29">
        <v>45825</v>
      </c>
      <c r="C831">
        <v>4.1541784708175298</v>
      </c>
    </row>
    <row r="832" spans="1:3" x14ac:dyDescent="0.45">
      <c r="A832" s="28">
        <v>8700216163811</v>
      </c>
      <c r="B832" s="29">
        <v>45825</v>
      </c>
      <c r="C832">
        <v>4.1449574418996704</v>
      </c>
    </row>
    <row r="833" spans="1:3" x14ac:dyDescent="0.45">
      <c r="A833" s="28">
        <v>8700216236034</v>
      </c>
      <c r="B833" s="29">
        <v>45825</v>
      </c>
      <c r="C833">
        <v>1.4404991827079701</v>
      </c>
    </row>
    <row r="834" spans="1:3" x14ac:dyDescent="0.45">
      <c r="A834" s="28">
        <v>8700216236751</v>
      </c>
      <c r="B834" s="29">
        <v>45825</v>
      </c>
      <c r="C834">
        <v>1.7579145716903299</v>
      </c>
    </row>
    <row r="835" spans="1:3" x14ac:dyDescent="0.45">
      <c r="A835" s="28">
        <v>4084500088917</v>
      </c>
      <c r="B835" s="29">
        <v>45826</v>
      </c>
      <c r="C835">
        <v>4.2005430397281902</v>
      </c>
    </row>
    <row r="836" spans="1:3" x14ac:dyDescent="0.45">
      <c r="A836" s="28">
        <v>4084500853836</v>
      </c>
      <c r="B836" s="29">
        <v>45826</v>
      </c>
      <c r="C836">
        <v>4.19110906717916</v>
      </c>
    </row>
    <row r="837" spans="1:3" x14ac:dyDescent="0.45">
      <c r="A837" s="28">
        <v>7290000286921</v>
      </c>
      <c r="B837" s="29">
        <v>45826</v>
      </c>
      <c r="C837">
        <v>1.32245141760748</v>
      </c>
    </row>
    <row r="838" spans="1:3" x14ac:dyDescent="0.45">
      <c r="A838" s="28">
        <v>7290000288024</v>
      </c>
      <c r="B838" s="29">
        <v>45826</v>
      </c>
      <c r="C838">
        <v>4.2299322177998304</v>
      </c>
    </row>
    <row r="839" spans="1:3" x14ac:dyDescent="0.45">
      <c r="A839" s="28">
        <v>7290000288307</v>
      </c>
      <c r="B839" s="29">
        <v>45826</v>
      </c>
      <c r="C839">
        <v>1.21581453211719</v>
      </c>
    </row>
    <row r="840" spans="1:3" x14ac:dyDescent="0.45">
      <c r="A840" s="28">
        <v>7290000288659</v>
      </c>
      <c r="B840" s="29">
        <v>45826</v>
      </c>
      <c r="C840">
        <v>1.21378588921742</v>
      </c>
    </row>
    <row r="841" spans="1:3" x14ac:dyDescent="0.45">
      <c r="A841" s="28">
        <v>7290000292915</v>
      </c>
      <c r="B841" s="29">
        <v>45826</v>
      </c>
      <c r="C841">
        <v>1.9504898689889101</v>
      </c>
    </row>
    <row r="842" spans="1:3" x14ac:dyDescent="0.45">
      <c r="A842" s="28">
        <v>7290000294780</v>
      </c>
      <c r="B842" s="29">
        <v>45826</v>
      </c>
      <c r="C842">
        <v>4.1795488724362402</v>
      </c>
    </row>
    <row r="843" spans="1:3" x14ac:dyDescent="0.45">
      <c r="A843" s="28">
        <v>7290000295367</v>
      </c>
      <c r="B843" s="29">
        <v>45826</v>
      </c>
      <c r="C843">
        <v>1.7668677508136399</v>
      </c>
    </row>
    <row r="844" spans="1:3" x14ac:dyDescent="0.45">
      <c r="A844" s="28">
        <v>7290000295541</v>
      </c>
      <c r="B844" s="29">
        <v>45826</v>
      </c>
      <c r="C844">
        <v>1.21851255968635</v>
      </c>
    </row>
    <row r="845" spans="1:3" x14ac:dyDescent="0.45">
      <c r="A845" s="28">
        <v>7290001246610</v>
      </c>
      <c r="B845" s="29">
        <v>45826</v>
      </c>
      <c r="C845">
        <v>1.7734305948460101</v>
      </c>
    </row>
    <row r="846" spans="1:3" x14ac:dyDescent="0.45">
      <c r="A846" s="28">
        <v>7290005424700</v>
      </c>
      <c r="B846" s="29">
        <v>45826</v>
      </c>
      <c r="C846">
        <v>1.9776703530331701</v>
      </c>
    </row>
    <row r="847" spans="1:3" x14ac:dyDescent="0.45">
      <c r="A847" s="28">
        <v>7290005425110</v>
      </c>
      <c r="B847" s="29">
        <v>45826</v>
      </c>
      <c r="C847">
        <v>1.9040390407955901</v>
      </c>
    </row>
    <row r="848" spans="1:3" x14ac:dyDescent="0.45">
      <c r="A848" s="28">
        <v>7290005425196</v>
      </c>
      <c r="B848" s="29">
        <v>45826</v>
      </c>
      <c r="C848">
        <v>1.7610651523740299</v>
      </c>
    </row>
    <row r="849" spans="1:3" x14ac:dyDescent="0.45">
      <c r="A849" s="28">
        <v>7290012116025</v>
      </c>
      <c r="B849" s="29">
        <v>45826</v>
      </c>
      <c r="C849">
        <v>1.9664437397813599</v>
      </c>
    </row>
    <row r="850" spans="1:3" x14ac:dyDescent="0.45">
      <c r="A850" s="28">
        <v>7290012117534</v>
      </c>
      <c r="B850" s="29">
        <v>45826</v>
      </c>
      <c r="C850">
        <v>1.75882131398357</v>
      </c>
    </row>
    <row r="851" spans="1:3" x14ac:dyDescent="0.45">
      <c r="A851" s="28">
        <v>7290013268204</v>
      </c>
      <c r="B851" s="29">
        <v>45826</v>
      </c>
      <c r="C851">
        <v>1.2293883823729099</v>
      </c>
    </row>
    <row r="852" spans="1:3" x14ac:dyDescent="0.45">
      <c r="A852" s="28">
        <v>7290013268891</v>
      </c>
      <c r="B852" s="29">
        <v>45826</v>
      </c>
      <c r="C852">
        <v>1.7760616567918399</v>
      </c>
    </row>
    <row r="853" spans="1:3" x14ac:dyDescent="0.45">
      <c r="A853" s="28">
        <v>7290013269003</v>
      </c>
      <c r="B853" s="29">
        <v>45826</v>
      </c>
      <c r="C853">
        <v>1.7440432466008899</v>
      </c>
    </row>
    <row r="854" spans="1:3" x14ac:dyDescent="0.45">
      <c r="A854" s="28">
        <v>7290014397453</v>
      </c>
      <c r="B854" s="29">
        <v>45826</v>
      </c>
      <c r="C854">
        <v>1.77135818512659</v>
      </c>
    </row>
    <row r="855" spans="1:3" x14ac:dyDescent="0.45">
      <c r="A855" s="28">
        <v>7290019274483</v>
      </c>
      <c r="B855" s="29">
        <v>45826</v>
      </c>
      <c r="C855">
        <v>1.7626200868965001</v>
      </c>
    </row>
    <row r="856" spans="1:3" x14ac:dyDescent="0.45">
      <c r="A856" s="28">
        <v>7290019274490</v>
      </c>
      <c r="B856" s="29">
        <v>45826</v>
      </c>
      <c r="C856">
        <v>1.7518229228368201</v>
      </c>
    </row>
    <row r="857" spans="1:3" x14ac:dyDescent="0.45">
      <c r="A857" s="28">
        <v>7290019611325</v>
      </c>
      <c r="B857" s="29">
        <v>45826</v>
      </c>
      <c r="C857">
        <v>1.74307596287453</v>
      </c>
    </row>
    <row r="858" spans="1:3" x14ac:dyDescent="0.45">
      <c r="A858" s="28">
        <v>7290103702489</v>
      </c>
      <c r="B858" s="29">
        <v>45826</v>
      </c>
      <c r="C858">
        <v>4.1885631725278403</v>
      </c>
    </row>
    <row r="859" spans="1:3" x14ac:dyDescent="0.45">
      <c r="A859" s="28">
        <v>7290103703370</v>
      </c>
      <c r="B859" s="29">
        <v>45826</v>
      </c>
      <c r="C859">
        <v>4.2064366290760704</v>
      </c>
    </row>
    <row r="860" spans="1:3" x14ac:dyDescent="0.45">
      <c r="A860" s="28">
        <v>7290103704155</v>
      </c>
      <c r="B860" s="29">
        <v>45826</v>
      </c>
      <c r="C860">
        <v>4.1778722472194803</v>
      </c>
    </row>
    <row r="861" spans="1:3" x14ac:dyDescent="0.45">
      <c r="A861" s="28">
        <v>7290103704179</v>
      </c>
      <c r="B861" s="29">
        <v>45826</v>
      </c>
      <c r="C861">
        <v>4.2079251410531704</v>
      </c>
    </row>
    <row r="862" spans="1:3" x14ac:dyDescent="0.45">
      <c r="A862" s="28">
        <v>7290103704919</v>
      </c>
      <c r="B862" s="29">
        <v>45826</v>
      </c>
      <c r="C862">
        <v>4.1774663754573904</v>
      </c>
    </row>
    <row r="863" spans="1:3" x14ac:dyDescent="0.45">
      <c r="A863" s="28">
        <v>7290107280099</v>
      </c>
      <c r="B863" s="29">
        <v>45826</v>
      </c>
      <c r="C863">
        <v>1.2250064376612599</v>
      </c>
    </row>
    <row r="864" spans="1:3" x14ac:dyDescent="0.45">
      <c r="A864" s="28">
        <v>7290108351699</v>
      </c>
      <c r="B864" s="29">
        <v>45826</v>
      </c>
      <c r="C864">
        <v>1.97116295675054</v>
      </c>
    </row>
    <row r="865" spans="1:3" x14ac:dyDescent="0.45">
      <c r="A865" s="28">
        <v>7290108352702</v>
      </c>
      <c r="B865" s="29">
        <v>45826</v>
      </c>
      <c r="C865">
        <v>1.2089688741281599</v>
      </c>
    </row>
    <row r="866" spans="1:3" x14ac:dyDescent="0.45">
      <c r="A866" s="28">
        <v>7290108356298</v>
      </c>
      <c r="B866" s="29">
        <v>45826</v>
      </c>
      <c r="C866">
        <v>1.9436323437873599</v>
      </c>
    </row>
    <row r="867" spans="1:3" x14ac:dyDescent="0.45">
      <c r="A867" s="28">
        <v>7290108356700</v>
      </c>
      <c r="B867" s="29">
        <v>45826</v>
      </c>
      <c r="C867">
        <v>1.21813370837487</v>
      </c>
    </row>
    <row r="868" spans="1:3" x14ac:dyDescent="0.45">
      <c r="A868" s="28">
        <v>7290108356717</v>
      </c>
      <c r="B868" s="29">
        <v>45826</v>
      </c>
      <c r="C868">
        <v>1.92910692758131</v>
      </c>
    </row>
    <row r="869" spans="1:3" x14ac:dyDescent="0.45">
      <c r="A869" s="28">
        <v>7290108356724</v>
      </c>
      <c r="B869" s="29">
        <v>45826</v>
      </c>
      <c r="C869">
        <v>1.9325439463259</v>
      </c>
    </row>
    <row r="870" spans="1:3" x14ac:dyDescent="0.45">
      <c r="A870" s="28">
        <v>7290108357240</v>
      </c>
      <c r="B870" s="29">
        <v>45826</v>
      </c>
      <c r="C870">
        <v>1.7640132493893299</v>
      </c>
    </row>
    <row r="871" spans="1:3" x14ac:dyDescent="0.45">
      <c r="A871" s="28">
        <v>7290108357288</v>
      </c>
      <c r="B871" s="29">
        <v>45826</v>
      </c>
      <c r="C871">
        <v>4.19183204759499</v>
      </c>
    </row>
    <row r="872" spans="1:3" x14ac:dyDescent="0.45">
      <c r="A872" s="28">
        <v>7290108357844</v>
      </c>
      <c r="B872" s="29">
        <v>45826</v>
      </c>
      <c r="C872">
        <v>1.95795043874387</v>
      </c>
    </row>
    <row r="873" spans="1:3" x14ac:dyDescent="0.45">
      <c r="A873" s="28">
        <v>7290108359077</v>
      </c>
      <c r="B873" s="29">
        <v>45826</v>
      </c>
      <c r="C873">
        <v>1.2098983478365499</v>
      </c>
    </row>
    <row r="874" spans="1:3" x14ac:dyDescent="0.45">
      <c r="A874" s="28">
        <v>7290108359176</v>
      </c>
      <c r="B874" s="29">
        <v>45826</v>
      </c>
      <c r="C874">
        <v>1.2151544318971099</v>
      </c>
    </row>
    <row r="875" spans="1:3" x14ac:dyDescent="0.45">
      <c r="A875" s="28">
        <v>7290108359190</v>
      </c>
      <c r="B875" s="29">
        <v>45826</v>
      </c>
      <c r="C875">
        <v>1.2130514785267501</v>
      </c>
    </row>
    <row r="876" spans="1:3" x14ac:dyDescent="0.45">
      <c r="A876" s="28">
        <v>8001090184375</v>
      </c>
      <c r="B876" s="29">
        <v>45826</v>
      </c>
      <c r="C876">
        <v>1.42033292869081</v>
      </c>
    </row>
    <row r="877" spans="1:3" x14ac:dyDescent="0.45">
      <c r="A877" s="28">
        <v>8001090184412</v>
      </c>
      <c r="B877" s="29">
        <v>45826</v>
      </c>
      <c r="C877">
        <v>4.1544202158170798</v>
      </c>
    </row>
    <row r="878" spans="1:3" x14ac:dyDescent="0.45">
      <c r="A878" s="28">
        <v>8001841625362</v>
      </c>
      <c r="B878" s="29">
        <v>45826</v>
      </c>
      <c r="C878">
        <v>1.7719170835956799</v>
      </c>
    </row>
    <row r="879" spans="1:3" x14ac:dyDescent="0.45">
      <c r="A879" s="28">
        <v>8001841893990</v>
      </c>
      <c r="B879" s="29">
        <v>45826</v>
      </c>
      <c r="C879">
        <v>1.2150334158454299</v>
      </c>
    </row>
    <row r="880" spans="1:3" x14ac:dyDescent="0.45">
      <c r="A880" s="28">
        <v>8006540429327</v>
      </c>
      <c r="B880" s="29">
        <v>45826</v>
      </c>
      <c r="C880">
        <v>4.1541784708175298</v>
      </c>
    </row>
    <row r="881" spans="1:3" x14ac:dyDescent="0.45">
      <c r="A881" s="28">
        <v>8700216163811</v>
      </c>
      <c r="B881" s="29">
        <v>45826</v>
      </c>
      <c r="C881">
        <v>4.1449574418996704</v>
      </c>
    </row>
    <row r="882" spans="1:3" x14ac:dyDescent="0.45">
      <c r="A882" s="28">
        <v>8700216236034</v>
      </c>
      <c r="B882" s="29">
        <v>45826</v>
      </c>
      <c r="C882">
        <v>1.4404991827079701</v>
      </c>
    </row>
    <row r="883" spans="1:3" x14ac:dyDescent="0.45">
      <c r="A883" s="28">
        <v>8700216236751</v>
      </c>
      <c r="B883" s="29">
        <v>45826</v>
      </c>
      <c r="C883">
        <v>1.7579145716903299</v>
      </c>
    </row>
    <row r="884" spans="1:3" x14ac:dyDescent="0.45">
      <c r="A884" s="28">
        <v>4084500088917</v>
      </c>
      <c r="B884" s="29">
        <v>45827</v>
      </c>
      <c r="C884">
        <v>4.2005430397281902</v>
      </c>
    </row>
    <row r="885" spans="1:3" x14ac:dyDescent="0.45">
      <c r="A885" s="28">
        <v>4084500853836</v>
      </c>
      <c r="B885" s="29">
        <v>45827</v>
      </c>
      <c r="C885">
        <v>4.19110906717916</v>
      </c>
    </row>
    <row r="886" spans="1:3" x14ac:dyDescent="0.45">
      <c r="A886" s="28">
        <v>7290000286921</v>
      </c>
      <c r="B886" s="29">
        <v>45827</v>
      </c>
      <c r="C886">
        <v>1.32245141760748</v>
      </c>
    </row>
    <row r="887" spans="1:3" x14ac:dyDescent="0.45">
      <c r="A887" s="28">
        <v>7290000288024</v>
      </c>
      <c r="B887" s="29">
        <v>45827</v>
      </c>
      <c r="C887">
        <v>4.2299322177998304</v>
      </c>
    </row>
    <row r="888" spans="1:3" x14ac:dyDescent="0.45">
      <c r="A888" s="28">
        <v>7290000288307</v>
      </c>
      <c r="B888" s="29">
        <v>45827</v>
      </c>
      <c r="C888">
        <v>1.21581453211719</v>
      </c>
    </row>
    <row r="889" spans="1:3" x14ac:dyDescent="0.45">
      <c r="A889" s="28">
        <v>7290000288659</v>
      </c>
      <c r="B889" s="29">
        <v>45827</v>
      </c>
      <c r="C889">
        <v>1.21378588921742</v>
      </c>
    </row>
    <row r="890" spans="1:3" x14ac:dyDescent="0.45">
      <c r="A890" s="28">
        <v>7290000292915</v>
      </c>
      <c r="B890" s="29">
        <v>45827</v>
      </c>
      <c r="C890">
        <v>1.9504898689889101</v>
      </c>
    </row>
    <row r="891" spans="1:3" x14ac:dyDescent="0.45">
      <c r="A891" s="28">
        <v>7290000294780</v>
      </c>
      <c r="B891" s="29">
        <v>45827</v>
      </c>
      <c r="C891">
        <v>4.1795488724362402</v>
      </c>
    </row>
    <row r="892" spans="1:3" x14ac:dyDescent="0.45">
      <c r="A892" s="28">
        <v>7290000295367</v>
      </c>
      <c r="B892" s="29">
        <v>45827</v>
      </c>
      <c r="C892">
        <v>1.7668677508136399</v>
      </c>
    </row>
    <row r="893" spans="1:3" x14ac:dyDescent="0.45">
      <c r="A893" s="28">
        <v>7290000295541</v>
      </c>
      <c r="B893" s="29">
        <v>45827</v>
      </c>
      <c r="C893">
        <v>1.21851255968635</v>
      </c>
    </row>
    <row r="894" spans="1:3" x14ac:dyDescent="0.45">
      <c r="A894" s="28">
        <v>7290001246610</v>
      </c>
      <c r="B894" s="29">
        <v>45827</v>
      </c>
      <c r="C894">
        <v>1.7734305948460101</v>
      </c>
    </row>
    <row r="895" spans="1:3" x14ac:dyDescent="0.45">
      <c r="A895" s="28">
        <v>7290005424700</v>
      </c>
      <c r="B895" s="29">
        <v>45827</v>
      </c>
      <c r="C895">
        <v>1.9776703530331701</v>
      </c>
    </row>
    <row r="896" spans="1:3" x14ac:dyDescent="0.45">
      <c r="A896" s="28">
        <v>7290005425110</v>
      </c>
      <c r="B896" s="29">
        <v>45827</v>
      </c>
      <c r="C896">
        <v>1.9040390407955901</v>
      </c>
    </row>
    <row r="897" spans="1:3" x14ac:dyDescent="0.45">
      <c r="A897" s="28">
        <v>7290005425196</v>
      </c>
      <c r="B897" s="29">
        <v>45827</v>
      </c>
      <c r="C897">
        <v>1.7610651523740299</v>
      </c>
    </row>
    <row r="898" spans="1:3" x14ac:dyDescent="0.45">
      <c r="A898" s="28">
        <v>7290012116025</v>
      </c>
      <c r="B898" s="29">
        <v>45827</v>
      </c>
      <c r="C898">
        <v>1.9664437397813599</v>
      </c>
    </row>
    <row r="899" spans="1:3" x14ac:dyDescent="0.45">
      <c r="A899" s="28">
        <v>7290012117534</v>
      </c>
      <c r="B899" s="29">
        <v>45827</v>
      </c>
      <c r="C899">
        <v>1.75882131398357</v>
      </c>
    </row>
    <row r="900" spans="1:3" x14ac:dyDescent="0.45">
      <c r="A900" s="28">
        <v>7290013268204</v>
      </c>
      <c r="B900" s="29">
        <v>45827</v>
      </c>
      <c r="C900">
        <v>1.2293883823729099</v>
      </c>
    </row>
    <row r="901" spans="1:3" x14ac:dyDescent="0.45">
      <c r="A901" s="28">
        <v>7290013268891</v>
      </c>
      <c r="B901" s="29">
        <v>45827</v>
      </c>
      <c r="C901">
        <v>1.7760616567918399</v>
      </c>
    </row>
    <row r="902" spans="1:3" x14ac:dyDescent="0.45">
      <c r="A902" s="28">
        <v>7290013269003</v>
      </c>
      <c r="B902" s="29">
        <v>45827</v>
      </c>
      <c r="C902">
        <v>1.7440432466008899</v>
      </c>
    </row>
    <row r="903" spans="1:3" x14ac:dyDescent="0.45">
      <c r="A903" s="28">
        <v>7290014397453</v>
      </c>
      <c r="B903" s="29">
        <v>45827</v>
      </c>
      <c r="C903">
        <v>1.77135818512659</v>
      </c>
    </row>
    <row r="904" spans="1:3" x14ac:dyDescent="0.45">
      <c r="A904" s="28">
        <v>7290019274483</v>
      </c>
      <c r="B904" s="29">
        <v>45827</v>
      </c>
      <c r="C904">
        <v>1.7626200868965001</v>
      </c>
    </row>
    <row r="905" spans="1:3" x14ac:dyDescent="0.45">
      <c r="A905" s="28">
        <v>7290019274490</v>
      </c>
      <c r="B905" s="29">
        <v>45827</v>
      </c>
      <c r="C905">
        <v>1.7518229228368201</v>
      </c>
    </row>
    <row r="906" spans="1:3" x14ac:dyDescent="0.45">
      <c r="A906" s="28">
        <v>7290019611325</v>
      </c>
      <c r="B906" s="29">
        <v>45827</v>
      </c>
      <c r="C906">
        <v>1.74307596287453</v>
      </c>
    </row>
    <row r="907" spans="1:3" x14ac:dyDescent="0.45">
      <c r="A907" s="28">
        <v>7290103702489</v>
      </c>
      <c r="B907" s="29">
        <v>45827</v>
      </c>
      <c r="C907">
        <v>4.1885631725278403</v>
      </c>
    </row>
    <row r="908" spans="1:3" x14ac:dyDescent="0.45">
      <c r="A908" s="28">
        <v>7290103703370</v>
      </c>
      <c r="B908" s="29">
        <v>45827</v>
      </c>
      <c r="C908">
        <v>4.2064366290760704</v>
      </c>
    </row>
    <row r="909" spans="1:3" x14ac:dyDescent="0.45">
      <c r="A909" s="28">
        <v>7290103704155</v>
      </c>
      <c r="B909" s="29">
        <v>45827</v>
      </c>
      <c r="C909">
        <v>4.1778722472194803</v>
      </c>
    </row>
    <row r="910" spans="1:3" x14ac:dyDescent="0.45">
      <c r="A910" s="28">
        <v>7290103704179</v>
      </c>
      <c r="B910" s="29">
        <v>45827</v>
      </c>
      <c r="C910">
        <v>4.2079251410531704</v>
      </c>
    </row>
    <row r="911" spans="1:3" x14ac:dyDescent="0.45">
      <c r="A911" s="28">
        <v>7290103704919</v>
      </c>
      <c r="B911" s="29">
        <v>45827</v>
      </c>
      <c r="C911">
        <v>4.1774663754573904</v>
      </c>
    </row>
    <row r="912" spans="1:3" x14ac:dyDescent="0.45">
      <c r="A912" s="28">
        <v>7290107280099</v>
      </c>
      <c r="B912" s="29">
        <v>45827</v>
      </c>
      <c r="C912">
        <v>1.2250064376612599</v>
      </c>
    </row>
    <row r="913" spans="1:3" x14ac:dyDescent="0.45">
      <c r="A913" s="28">
        <v>7290108351699</v>
      </c>
      <c r="B913" s="29">
        <v>45827</v>
      </c>
      <c r="C913">
        <v>1.97116295675054</v>
      </c>
    </row>
    <row r="914" spans="1:3" x14ac:dyDescent="0.45">
      <c r="A914" s="28">
        <v>7290108352702</v>
      </c>
      <c r="B914" s="29">
        <v>45827</v>
      </c>
      <c r="C914">
        <v>1.2089688741281599</v>
      </c>
    </row>
    <row r="915" spans="1:3" x14ac:dyDescent="0.45">
      <c r="A915" s="28">
        <v>7290108356298</v>
      </c>
      <c r="B915" s="29">
        <v>45827</v>
      </c>
      <c r="C915">
        <v>1.9436323437873599</v>
      </c>
    </row>
    <row r="916" spans="1:3" x14ac:dyDescent="0.45">
      <c r="A916" s="28">
        <v>7290108356700</v>
      </c>
      <c r="B916" s="29">
        <v>45827</v>
      </c>
      <c r="C916">
        <v>1.21813370837487</v>
      </c>
    </row>
    <row r="917" spans="1:3" x14ac:dyDescent="0.45">
      <c r="A917" s="28">
        <v>7290108356717</v>
      </c>
      <c r="B917" s="29">
        <v>45827</v>
      </c>
      <c r="C917">
        <v>1.92910692758131</v>
      </c>
    </row>
    <row r="918" spans="1:3" x14ac:dyDescent="0.45">
      <c r="A918" s="28">
        <v>7290108356724</v>
      </c>
      <c r="B918" s="29">
        <v>45827</v>
      </c>
      <c r="C918">
        <v>1.9325439463259</v>
      </c>
    </row>
    <row r="919" spans="1:3" x14ac:dyDescent="0.45">
      <c r="A919" s="28">
        <v>7290108357240</v>
      </c>
      <c r="B919" s="29">
        <v>45827</v>
      </c>
      <c r="C919">
        <v>1.7640132493893299</v>
      </c>
    </row>
    <row r="920" spans="1:3" x14ac:dyDescent="0.45">
      <c r="A920" s="28">
        <v>7290108357288</v>
      </c>
      <c r="B920" s="29">
        <v>45827</v>
      </c>
      <c r="C920">
        <v>4.19183204759499</v>
      </c>
    </row>
    <row r="921" spans="1:3" x14ac:dyDescent="0.45">
      <c r="A921" s="28">
        <v>7290108357844</v>
      </c>
      <c r="B921" s="29">
        <v>45827</v>
      </c>
      <c r="C921">
        <v>1.95795043874387</v>
      </c>
    </row>
    <row r="922" spans="1:3" x14ac:dyDescent="0.45">
      <c r="A922" s="28">
        <v>7290108359077</v>
      </c>
      <c r="B922" s="29">
        <v>45827</v>
      </c>
      <c r="C922">
        <v>1.2098983478365499</v>
      </c>
    </row>
    <row r="923" spans="1:3" x14ac:dyDescent="0.45">
      <c r="A923" s="28">
        <v>7290108359176</v>
      </c>
      <c r="B923" s="29">
        <v>45827</v>
      </c>
      <c r="C923">
        <v>1.2151544318971099</v>
      </c>
    </row>
    <row r="924" spans="1:3" x14ac:dyDescent="0.45">
      <c r="A924" s="28">
        <v>7290108359190</v>
      </c>
      <c r="B924" s="29">
        <v>45827</v>
      </c>
      <c r="C924">
        <v>1.2130514785267501</v>
      </c>
    </row>
    <row r="925" spans="1:3" x14ac:dyDescent="0.45">
      <c r="A925" s="28">
        <v>8001090184375</v>
      </c>
      <c r="B925" s="29">
        <v>45827</v>
      </c>
      <c r="C925">
        <v>1.42033292869081</v>
      </c>
    </row>
    <row r="926" spans="1:3" x14ac:dyDescent="0.45">
      <c r="A926" s="28">
        <v>8001090184412</v>
      </c>
      <c r="B926" s="29">
        <v>45827</v>
      </c>
      <c r="C926">
        <v>4.1544202158170798</v>
      </c>
    </row>
    <row r="927" spans="1:3" x14ac:dyDescent="0.45">
      <c r="A927" s="28">
        <v>8001841625362</v>
      </c>
      <c r="B927" s="29">
        <v>45827</v>
      </c>
      <c r="C927">
        <v>1.7719170835956799</v>
      </c>
    </row>
    <row r="928" spans="1:3" x14ac:dyDescent="0.45">
      <c r="A928" s="28">
        <v>8001841893990</v>
      </c>
      <c r="B928" s="29">
        <v>45827</v>
      </c>
      <c r="C928">
        <v>1.2150334158454299</v>
      </c>
    </row>
    <row r="929" spans="1:3" x14ac:dyDescent="0.45">
      <c r="A929" s="28">
        <v>8006540429327</v>
      </c>
      <c r="B929" s="29">
        <v>45827</v>
      </c>
      <c r="C929">
        <v>4.1541784708175298</v>
      </c>
    </row>
    <row r="930" spans="1:3" x14ac:dyDescent="0.45">
      <c r="A930" s="28">
        <v>8700216163811</v>
      </c>
      <c r="B930" s="29">
        <v>45827</v>
      </c>
      <c r="C930">
        <v>4.1449574418996704</v>
      </c>
    </row>
    <row r="931" spans="1:3" x14ac:dyDescent="0.45">
      <c r="A931" s="28">
        <v>8700216236034</v>
      </c>
      <c r="B931" s="29">
        <v>45827</v>
      </c>
      <c r="C931">
        <v>1.4404991827079701</v>
      </c>
    </row>
    <row r="932" spans="1:3" x14ac:dyDescent="0.45">
      <c r="A932" s="28">
        <v>8700216236751</v>
      </c>
      <c r="B932" s="29">
        <v>45827</v>
      </c>
      <c r="C932">
        <v>1.7579145716903299</v>
      </c>
    </row>
    <row r="933" spans="1:3" x14ac:dyDescent="0.45">
      <c r="A933" s="28">
        <v>4084500088917</v>
      </c>
      <c r="B933" s="29">
        <v>45828</v>
      </c>
      <c r="C933">
        <v>8.2979049568489298</v>
      </c>
    </row>
    <row r="934" spans="1:3" x14ac:dyDescent="0.45">
      <c r="A934" s="28">
        <v>4084500853836</v>
      </c>
      <c r="B934" s="29">
        <v>45828</v>
      </c>
      <c r="C934">
        <v>8.0833956024541394</v>
      </c>
    </row>
    <row r="935" spans="1:3" x14ac:dyDescent="0.45">
      <c r="A935" s="28">
        <v>7290000286921</v>
      </c>
      <c r="B935" s="29">
        <v>45828</v>
      </c>
      <c r="C935">
        <v>3.51796284319314</v>
      </c>
    </row>
    <row r="936" spans="1:3" x14ac:dyDescent="0.45">
      <c r="A936" s="28">
        <v>7290000288024</v>
      </c>
      <c r="B936" s="29">
        <v>45828</v>
      </c>
      <c r="C936">
        <v>8.2867921030624192</v>
      </c>
    </row>
    <row r="937" spans="1:3" x14ac:dyDescent="0.45">
      <c r="A937" s="28">
        <v>7290000288307</v>
      </c>
      <c r="B937" s="29">
        <v>45828</v>
      </c>
      <c r="C937">
        <v>3.3923182140065</v>
      </c>
    </row>
    <row r="938" spans="1:3" x14ac:dyDescent="0.45">
      <c r="A938" s="28">
        <v>7290000288659</v>
      </c>
      <c r="B938" s="29">
        <v>45828</v>
      </c>
      <c r="C938">
        <v>3.3932693933139699</v>
      </c>
    </row>
    <row r="939" spans="1:3" x14ac:dyDescent="0.45">
      <c r="A939" s="28">
        <v>7290000292915</v>
      </c>
      <c r="B939" s="29">
        <v>45828</v>
      </c>
      <c r="C939">
        <v>4.1311326037876501</v>
      </c>
    </row>
    <row r="940" spans="1:3" x14ac:dyDescent="0.45">
      <c r="A940" s="28">
        <v>7290000294780</v>
      </c>
      <c r="B940" s="29">
        <v>45828</v>
      </c>
      <c r="C940">
        <v>8.2513120346081692</v>
      </c>
    </row>
    <row r="941" spans="1:3" x14ac:dyDescent="0.45">
      <c r="A941" s="28">
        <v>7290000295367</v>
      </c>
      <c r="B941" s="29">
        <v>45828</v>
      </c>
      <c r="C941">
        <v>3.5574926139802301</v>
      </c>
    </row>
    <row r="942" spans="1:3" x14ac:dyDescent="0.45">
      <c r="A942" s="28">
        <v>7290000295541</v>
      </c>
      <c r="B942" s="29">
        <v>45828</v>
      </c>
      <c r="C942">
        <v>3.3883908770184101</v>
      </c>
    </row>
    <row r="943" spans="1:3" x14ac:dyDescent="0.45">
      <c r="A943" s="28">
        <v>7290001246610</v>
      </c>
      <c r="B943" s="29">
        <v>45828</v>
      </c>
      <c r="C943">
        <v>3.6392969113331999</v>
      </c>
    </row>
    <row r="944" spans="1:3" x14ac:dyDescent="0.45">
      <c r="A944" s="28">
        <v>7290005424700</v>
      </c>
      <c r="B944" s="29">
        <v>45828</v>
      </c>
      <c r="C944">
        <v>4.2234796181562997</v>
      </c>
    </row>
    <row r="945" spans="1:3" x14ac:dyDescent="0.45">
      <c r="A945" s="28">
        <v>7290005425110</v>
      </c>
      <c r="B945" s="29">
        <v>45828</v>
      </c>
      <c r="C945">
        <v>4.2632879960233296</v>
      </c>
    </row>
    <row r="946" spans="1:3" x14ac:dyDescent="0.45">
      <c r="A946" s="28">
        <v>7290005425196</v>
      </c>
      <c r="B946" s="29">
        <v>45828</v>
      </c>
      <c r="C946">
        <v>3.6002980636942699</v>
      </c>
    </row>
    <row r="947" spans="1:3" x14ac:dyDescent="0.45">
      <c r="A947" s="28">
        <v>7290012116025</v>
      </c>
      <c r="B947" s="29">
        <v>45828</v>
      </c>
      <c r="C947">
        <v>4.2836034183324099</v>
      </c>
    </row>
    <row r="948" spans="1:3" x14ac:dyDescent="0.45">
      <c r="A948" s="28">
        <v>7290012117534</v>
      </c>
      <c r="B948" s="29">
        <v>45828</v>
      </c>
      <c r="C948">
        <v>3.59435618256536</v>
      </c>
    </row>
    <row r="949" spans="1:3" x14ac:dyDescent="0.45">
      <c r="A949" s="28">
        <v>7290013268204</v>
      </c>
      <c r="B949" s="29">
        <v>45828</v>
      </c>
      <c r="C949">
        <v>3.3681682017627601</v>
      </c>
    </row>
    <row r="950" spans="1:3" x14ac:dyDescent="0.45">
      <c r="A950" s="28">
        <v>7290013268891</v>
      </c>
      <c r="B950" s="29">
        <v>45828</v>
      </c>
      <c r="C950">
        <v>3.5799595147616499</v>
      </c>
    </row>
    <row r="951" spans="1:3" x14ac:dyDescent="0.45">
      <c r="A951" s="28">
        <v>7290013269003</v>
      </c>
      <c r="B951" s="29">
        <v>45828</v>
      </c>
      <c r="C951">
        <v>3.5799204300558598</v>
      </c>
    </row>
    <row r="952" spans="1:3" x14ac:dyDescent="0.45">
      <c r="A952" s="28">
        <v>7290014397453</v>
      </c>
      <c r="B952" s="29">
        <v>45828</v>
      </c>
      <c r="C952">
        <v>3.6116262628589801</v>
      </c>
    </row>
    <row r="953" spans="1:3" x14ac:dyDescent="0.45">
      <c r="A953" s="28">
        <v>7290019274483</v>
      </c>
      <c r="B953" s="29">
        <v>45828</v>
      </c>
      <c r="C953">
        <v>3.6085748993404199</v>
      </c>
    </row>
    <row r="954" spans="1:3" x14ac:dyDescent="0.45">
      <c r="A954" s="28">
        <v>7290019274490</v>
      </c>
      <c r="B954" s="29">
        <v>45828</v>
      </c>
      <c r="C954">
        <v>3.6625690464774001</v>
      </c>
    </row>
    <row r="955" spans="1:3" x14ac:dyDescent="0.45">
      <c r="A955" s="28">
        <v>7290019611325</v>
      </c>
      <c r="B955" s="29">
        <v>45828</v>
      </c>
      <c r="C955">
        <v>3.5575953108992802</v>
      </c>
    </row>
    <row r="956" spans="1:3" x14ac:dyDescent="0.45">
      <c r="A956" s="28">
        <v>7290103702489</v>
      </c>
      <c r="B956" s="29">
        <v>45828</v>
      </c>
      <c r="C956">
        <v>8.2920317499110894</v>
      </c>
    </row>
    <row r="957" spans="1:3" x14ac:dyDescent="0.45">
      <c r="A957" s="28">
        <v>7290103703370</v>
      </c>
      <c r="B957" s="29">
        <v>45828</v>
      </c>
      <c r="C957">
        <v>8.1137730696634005</v>
      </c>
    </row>
    <row r="958" spans="1:3" x14ac:dyDescent="0.45">
      <c r="A958" s="28">
        <v>7290103704155</v>
      </c>
      <c r="B958" s="29">
        <v>45828</v>
      </c>
      <c r="C958">
        <v>8.32834063804723</v>
      </c>
    </row>
    <row r="959" spans="1:3" x14ac:dyDescent="0.45">
      <c r="A959" s="28">
        <v>7290103704179</v>
      </c>
      <c r="B959" s="29">
        <v>45828</v>
      </c>
      <c r="C959">
        <v>8.3006159083214897</v>
      </c>
    </row>
    <row r="960" spans="1:3" x14ac:dyDescent="0.45">
      <c r="A960" s="28">
        <v>7290103704919</v>
      </c>
      <c r="B960" s="29">
        <v>45828</v>
      </c>
      <c r="C960">
        <v>8.1244069410553692</v>
      </c>
    </row>
    <row r="961" spans="1:3" x14ac:dyDescent="0.45">
      <c r="A961" s="28">
        <v>7290107280099</v>
      </c>
      <c r="B961" s="29">
        <v>45828</v>
      </c>
      <c r="C961">
        <v>3.3639732367130502</v>
      </c>
    </row>
    <row r="962" spans="1:3" x14ac:dyDescent="0.45">
      <c r="A962" s="28">
        <v>7290108351699</v>
      </c>
      <c r="B962" s="29">
        <v>45828</v>
      </c>
      <c r="C962">
        <v>4.0946443871602698</v>
      </c>
    </row>
    <row r="963" spans="1:3" x14ac:dyDescent="0.45">
      <c r="A963" s="28">
        <v>7290108352702</v>
      </c>
      <c r="B963" s="29">
        <v>45828</v>
      </c>
      <c r="C963">
        <v>3.3749989510768499</v>
      </c>
    </row>
    <row r="964" spans="1:3" x14ac:dyDescent="0.45">
      <c r="A964" s="28">
        <v>7290108356298</v>
      </c>
      <c r="B964" s="29">
        <v>45828</v>
      </c>
      <c r="C964">
        <v>4.2385329162947398</v>
      </c>
    </row>
    <row r="965" spans="1:3" x14ac:dyDescent="0.45">
      <c r="A965" s="28">
        <v>7290108356700</v>
      </c>
      <c r="B965" s="29">
        <v>45828</v>
      </c>
      <c r="C965">
        <v>3.3962844637354799</v>
      </c>
    </row>
    <row r="966" spans="1:3" x14ac:dyDescent="0.45">
      <c r="A966" s="28">
        <v>7290108356717</v>
      </c>
      <c r="B966" s="29">
        <v>45828</v>
      </c>
      <c r="C966">
        <v>3.7718560308865601</v>
      </c>
    </row>
    <row r="967" spans="1:3" x14ac:dyDescent="0.45">
      <c r="A967" s="28">
        <v>7290108356724</v>
      </c>
      <c r="B967" s="29">
        <v>45828</v>
      </c>
      <c r="C967">
        <v>4.2393640728602202</v>
      </c>
    </row>
    <row r="968" spans="1:3" x14ac:dyDescent="0.45">
      <c r="A968" s="28">
        <v>7290108357240</v>
      </c>
      <c r="B968" s="29">
        <v>45828</v>
      </c>
      <c r="C968">
        <v>3.5300523396965602</v>
      </c>
    </row>
    <row r="969" spans="1:3" x14ac:dyDescent="0.45">
      <c r="A969" s="28">
        <v>7290108357288</v>
      </c>
      <c r="B969" s="29">
        <v>45828</v>
      </c>
      <c r="C969">
        <v>8.2017601333818995</v>
      </c>
    </row>
    <row r="970" spans="1:3" x14ac:dyDescent="0.45">
      <c r="A970" s="28">
        <v>7290108357844</v>
      </c>
      <c r="B970" s="29">
        <v>45828</v>
      </c>
      <c r="C970">
        <v>4.1611807203707096</v>
      </c>
    </row>
    <row r="971" spans="1:3" x14ac:dyDescent="0.45">
      <c r="A971" s="28">
        <v>7290108359077</v>
      </c>
      <c r="B971" s="29">
        <v>45828</v>
      </c>
      <c r="C971">
        <v>3.3677997197405598</v>
      </c>
    </row>
    <row r="972" spans="1:3" x14ac:dyDescent="0.45">
      <c r="A972" s="28">
        <v>7290108359176</v>
      </c>
      <c r="B972" s="29">
        <v>45828</v>
      </c>
      <c r="C972">
        <v>3.38167605823981</v>
      </c>
    </row>
    <row r="973" spans="1:3" x14ac:dyDescent="0.45">
      <c r="A973" s="28">
        <v>7290108359190</v>
      </c>
      <c r="B973" s="29">
        <v>45828</v>
      </c>
      <c r="C973">
        <v>3.38504409980081</v>
      </c>
    </row>
    <row r="974" spans="1:3" x14ac:dyDescent="0.45">
      <c r="A974" s="28">
        <v>8001090184375</v>
      </c>
      <c r="B974" s="29">
        <v>45828</v>
      </c>
      <c r="C974">
        <v>3.4444303084347401</v>
      </c>
    </row>
    <row r="975" spans="1:3" x14ac:dyDescent="0.45">
      <c r="A975" s="28">
        <v>8001090184412</v>
      </c>
      <c r="B975" s="29">
        <v>45828</v>
      </c>
      <c r="C975">
        <v>8.1941449313571404</v>
      </c>
    </row>
    <row r="976" spans="1:3" x14ac:dyDescent="0.45">
      <c r="A976" s="28">
        <v>8001841625362</v>
      </c>
      <c r="B976" s="29">
        <v>45828</v>
      </c>
      <c r="C976">
        <v>3.6477774735697199</v>
      </c>
    </row>
    <row r="977" spans="1:3" x14ac:dyDescent="0.45">
      <c r="A977" s="28">
        <v>8001841893990</v>
      </c>
      <c r="B977" s="29">
        <v>45828</v>
      </c>
      <c r="C977">
        <v>3.3596518899719898</v>
      </c>
    </row>
    <row r="978" spans="1:3" x14ac:dyDescent="0.45">
      <c r="A978" s="28">
        <v>8006540429327</v>
      </c>
      <c r="B978" s="29">
        <v>45828</v>
      </c>
      <c r="C978">
        <v>8.2551510781061399</v>
      </c>
    </row>
    <row r="979" spans="1:3" x14ac:dyDescent="0.45">
      <c r="A979" s="28">
        <v>8700216163811</v>
      </c>
      <c r="B979" s="29">
        <v>45828</v>
      </c>
      <c r="C979">
        <v>8.3322349266486295</v>
      </c>
    </row>
    <row r="980" spans="1:3" x14ac:dyDescent="0.45">
      <c r="A980" s="28">
        <v>8700216236034</v>
      </c>
      <c r="B980" s="29">
        <v>45828</v>
      </c>
      <c r="C980">
        <v>3.5013011553483402</v>
      </c>
    </row>
    <row r="981" spans="1:3" x14ac:dyDescent="0.45">
      <c r="A981" s="28">
        <v>8700216236751</v>
      </c>
      <c r="B981" s="29">
        <v>45828</v>
      </c>
      <c r="C981">
        <v>3.6469401290393302</v>
      </c>
    </row>
    <row r="982" spans="1:3" x14ac:dyDescent="0.45">
      <c r="A982" s="28">
        <v>4084500088917</v>
      </c>
      <c r="B982" s="29">
        <v>45829</v>
      </c>
      <c r="C982">
        <v>8.2979049568489298</v>
      </c>
    </row>
    <row r="983" spans="1:3" x14ac:dyDescent="0.45">
      <c r="A983" s="28">
        <v>4084500853836</v>
      </c>
      <c r="B983" s="29">
        <v>45829</v>
      </c>
      <c r="C983">
        <v>8.0833956024541394</v>
      </c>
    </row>
    <row r="984" spans="1:3" x14ac:dyDescent="0.45">
      <c r="A984" s="28">
        <v>7290000286921</v>
      </c>
      <c r="B984" s="29">
        <v>45829</v>
      </c>
      <c r="C984">
        <v>3.51796284319314</v>
      </c>
    </row>
    <row r="985" spans="1:3" x14ac:dyDescent="0.45">
      <c r="A985" s="28">
        <v>7290000288024</v>
      </c>
      <c r="B985" s="29">
        <v>45829</v>
      </c>
      <c r="C985">
        <v>8.2867921030624192</v>
      </c>
    </row>
    <row r="986" spans="1:3" x14ac:dyDescent="0.45">
      <c r="A986" s="28">
        <v>7290000288307</v>
      </c>
      <c r="B986" s="29">
        <v>45829</v>
      </c>
      <c r="C986">
        <v>3.3923182140065</v>
      </c>
    </row>
    <row r="987" spans="1:3" x14ac:dyDescent="0.45">
      <c r="A987" s="28">
        <v>7290000288659</v>
      </c>
      <c r="B987" s="29">
        <v>45829</v>
      </c>
      <c r="C987">
        <v>3.3932693933139699</v>
      </c>
    </row>
    <row r="988" spans="1:3" x14ac:dyDescent="0.45">
      <c r="A988" s="28">
        <v>7290000292915</v>
      </c>
      <c r="B988" s="29">
        <v>45829</v>
      </c>
      <c r="C988">
        <v>4.1311326037876501</v>
      </c>
    </row>
    <row r="989" spans="1:3" x14ac:dyDescent="0.45">
      <c r="A989" s="28">
        <v>7290000294780</v>
      </c>
      <c r="B989" s="29">
        <v>45829</v>
      </c>
      <c r="C989">
        <v>8.2513120346081692</v>
      </c>
    </row>
    <row r="990" spans="1:3" x14ac:dyDescent="0.45">
      <c r="A990" s="28">
        <v>7290000295367</v>
      </c>
      <c r="B990" s="29">
        <v>45829</v>
      </c>
      <c r="C990">
        <v>3.5574926139802301</v>
      </c>
    </row>
    <row r="991" spans="1:3" x14ac:dyDescent="0.45">
      <c r="A991" s="28">
        <v>7290000295541</v>
      </c>
      <c r="B991" s="29">
        <v>45829</v>
      </c>
      <c r="C991">
        <v>3.3883908770184101</v>
      </c>
    </row>
    <row r="992" spans="1:3" x14ac:dyDescent="0.45">
      <c r="A992" s="28">
        <v>7290001246610</v>
      </c>
      <c r="B992" s="29">
        <v>45829</v>
      </c>
      <c r="C992">
        <v>3.6392969113331999</v>
      </c>
    </row>
    <row r="993" spans="1:3" x14ac:dyDescent="0.45">
      <c r="A993" s="28">
        <v>7290005424700</v>
      </c>
      <c r="B993" s="29">
        <v>45829</v>
      </c>
      <c r="C993">
        <v>4.2234796181562997</v>
      </c>
    </row>
    <row r="994" spans="1:3" x14ac:dyDescent="0.45">
      <c r="A994" s="28">
        <v>7290005425110</v>
      </c>
      <c r="B994" s="29">
        <v>45829</v>
      </c>
      <c r="C994">
        <v>4.2632879960233296</v>
      </c>
    </row>
    <row r="995" spans="1:3" x14ac:dyDescent="0.45">
      <c r="A995" s="28">
        <v>7290005425196</v>
      </c>
      <c r="B995" s="29">
        <v>45829</v>
      </c>
      <c r="C995">
        <v>3.6002980636942699</v>
      </c>
    </row>
    <row r="996" spans="1:3" x14ac:dyDescent="0.45">
      <c r="A996" s="28">
        <v>7290012116025</v>
      </c>
      <c r="B996" s="29">
        <v>45829</v>
      </c>
      <c r="C996">
        <v>4.2836034183324099</v>
      </c>
    </row>
    <row r="997" spans="1:3" x14ac:dyDescent="0.45">
      <c r="A997" s="28">
        <v>7290012117534</v>
      </c>
      <c r="B997" s="29">
        <v>45829</v>
      </c>
      <c r="C997">
        <v>3.59435618256536</v>
      </c>
    </row>
    <row r="998" spans="1:3" x14ac:dyDescent="0.45">
      <c r="A998" s="28">
        <v>7290013268204</v>
      </c>
      <c r="B998" s="29">
        <v>45829</v>
      </c>
      <c r="C998">
        <v>3.3681682017627601</v>
      </c>
    </row>
    <row r="999" spans="1:3" x14ac:dyDescent="0.45">
      <c r="A999" s="28">
        <v>7290013268891</v>
      </c>
      <c r="B999" s="29">
        <v>45829</v>
      </c>
      <c r="C999">
        <v>3.5799595147616499</v>
      </c>
    </row>
    <row r="1000" spans="1:3" x14ac:dyDescent="0.45">
      <c r="A1000" s="28">
        <v>7290013269003</v>
      </c>
      <c r="B1000" s="29">
        <v>45829</v>
      </c>
      <c r="C1000">
        <v>3.5799204300558598</v>
      </c>
    </row>
    <row r="1001" spans="1:3" x14ac:dyDescent="0.45">
      <c r="A1001" s="28">
        <v>7290014397453</v>
      </c>
      <c r="B1001" s="29">
        <v>45829</v>
      </c>
      <c r="C1001">
        <v>3.6116262628589801</v>
      </c>
    </row>
    <row r="1002" spans="1:3" x14ac:dyDescent="0.45">
      <c r="A1002" s="28">
        <v>7290019274483</v>
      </c>
      <c r="B1002" s="29">
        <v>45829</v>
      </c>
      <c r="C1002">
        <v>3.6085748993404199</v>
      </c>
    </row>
    <row r="1003" spans="1:3" x14ac:dyDescent="0.45">
      <c r="A1003" s="28">
        <v>7290019274490</v>
      </c>
      <c r="B1003" s="29">
        <v>45829</v>
      </c>
      <c r="C1003">
        <v>3.6625690464774001</v>
      </c>
    </row>
    <row r="1004" spans="1:3" x14ac:dyDescent="0.45">
      <c r="A1004" s="28">
        <v>7290019611325</v>
      </c>
      <c r="B1004" s="29">
        <v>45829</v>
      </c>
      <c r="C1004">
        <v>3.5575953108992802</v>
      </c>
    </row>
    <row r="1005" spans="1:3" x14ac:dyDescent="0.45">
      <c r="A1005" s="28">
        <v>7290103702489</v>
      </c>
      <c r="B1005" s="29">
        <v>45829</v>
      </c>
      <c r="C1005">
        <v>8.2920317499110894</v>
      </c>
    </row>
    <row r="1006" spans="1:3" x14ac:dyDescent="0.45">
      <c r="A1006" s="28">
        <v>7290103703370</v>
      </c>
      <c r="B1006" s="29">
        <v>45829</v>
      </c>
      <c r="C1006">
        <v>8.1137730696634005</v>
      </c>
    </row>
    <row r="1007" spans="1:3" x14ac:dyDescent="0.45">
      <c r="A1007" s="28">
        <v>7290103704155</v>
      </c>
      <c r="B1007" s="29">
        <v>45829</v>
      </c>
      <c r="C1007">
        <v>8.32834063804723</v>
      </c>
    </row>
    <row r="1008" spans="1:3" x14ac:dyDescent="0.45">
      <c r="A1008" s="28">
        <v>7290103704179</v>
      </c>
      <c r="B1008" s="29">
        <v>45829</v>
      </c>
      <c r="C1008">
        <v>8.3006159083214897</v>
      </c>
    </row>
    <row r="1009" spans="1:3" x14ac:dyDescent="0.45">
      <c r="A1009" s="28">
        <v>7290103704919</v>
      </c>
      <c r="B1009" s="29">
        <v>45829</v>
      </c>
      <c r="C1009">
        <v>8.1244069410553692</v>
      </c>
    </row>
    <row r="1010" spans="1:3" x14ac:dyDescent="0.45">
      <c r="A1010" s="28">
        <v>7290107280099</v>
      </c>
      <c r="B1010" s="29">
        <v>45829</v>
      </c>
      <c r="C1010">
        <v>3.3639732367130502</v>
      </c>
    </row>
    <row r="1011" spans="1:3" x14ac:dyDescent="0.45">
      <c r="A1011" s="28">
        <v>7290108351699</v>
      </c>
      <c r="B1011" s="29">
        <v>45829</v>
      </c>
      <c r="C1011">
        <v>4.0946443871602698</v>
      </c>
    </row>
    <row r="1012" spans="1:3" x14ac:dyDescent="0.45">
      <c r="A1012" s="28">
        <v>7290108352702</v>
      </c>
      <c r="B1012" s="29">
        <v>45829</v>
      </c>
      <c r="C1012">
        <v>3.3749989510768499</v>
      </c>
    </row>
    <row r="1013" spans="1:3" x14ac:dyDescent="0.45">
      <c r="A1013" s="28">
        <v>7290108356298</v>
      </c>
      <c r="B1013" s="29">
        <v>45829</v>
      </c>
      <c r="C1013">
        <v>4.2385329162947398</v>
      </c>
    </row>
    <row r="1014" spans="1:3" x14ac:dyDescent="0.45">
      <c r="A1014" s="28">
        <v>7290108356700</v>
      </c>
      <c r="B1014" s="29">
        <v>45829</v>
      </c>
      <c r="C1014">
        <v>3.3962844637354799</v>
      </c>
    </row>
    <row r="1015" spans="1:3" x14ac:dyDescent="0.45">
      <c r="A1015" s="28">
        <v>7290108356717</v>
      </c>
      <c r="B1015" s="29">
        <v>45829</v>
      </c>
      <c r="C1015">
        <v>3.7718560308865601</v>
      </c>
    </row>
    <row r="1016" spans="1:3" x14ac:dyDescent="0.45">
      <c r="A1016" s="28">
        <v>7290108356724</v>
      </c>
      <c r="B1016" s="29">
        <v>45829</v>
      </c>
      <c r="C1016">
        <v>4.2393640728602202</v>
      </c>
    </row>
    <row r="1017" spans="1:3" x14ac:dyDescent="0.45">
      <c r="A1017" s="28">
        <v>7290108357240</v>
      </c>
      <c r="B1017" s="29">
        <v>45829</v>
      </c>
      <c r="C1017">
        <v>3.5300523396965602</v>
      </c>
    </row>
    <row r="1018" spans="1:3" x14ac:dyDescent="0.45">
      <c r="A1018" s="28">
        <v>7290108357288</v>
      </c>
      <c r="B1018" s="29">
        <v>45829</v>
      </c>
      <c r="C1018">
        <v>8.2017601333818995</v>
      </c>
    </row>
    <row r="1019" spans="1:3" x14ac:dyDescent="0.45">
      <c r="A1019" s="28">
        <v>7290108357844</v>
      </c>
      <c r="B1019" s="29">
        <v>45829</v>
      </c>
      <c r="C1019">
        <v>4.1611807203707096</v>
      </c>
    </row>
    <row r="1020" spans="1:3" x14ac:dyDescent="0.45">
      <c r="A1020" s="28">
        <v>7290108359077</v>
      </c>
      <c r="B1020" s="29">
        <v>45829</v>
      </c>
      <c r="C1020">
        <v>3.3677997197405598</v>
      </c>
    </row>
    <row r="1021" spans="1:3" x14ac:dyDescent="0.45">
      <c r="A1021" s="28">
        <v>7290108359176</v>
      </c>
      <c r="B1021" s="29">
        <v>45829</v>
      </c>
      <c r="C1021">
        <v>3.38167605823981</v>
      </c>
    </row>
    <row r="1022" spans="1:3" x14ac:dyDescent="0.45">
      <c r="A1022" s="28">
        <v>7290108359190</v>
      </c>
      <c r="B1022" s="29">
        <v>45829</v>
      </c>
      <c r="C1022">
        <v>3.38504409980081</v>
      </c>
    </row>
    <row r="1023" spans="1:3" x14ac:dyDescent="0.45">
      <c r="A1023" s="28">
        <v>8001090184375</v>
      </c>
      <c r="B1023" s="29">
        <v>45829</v>
      </c>
      <c r="C1023">
        <v>3.4444303084347401</v>
      </c>
    </row>
    <row r="1024" spans="1:3" x14ac:dyDescent="0.45">
      <c r="A1024" s="28">
        <v>8001090184412</v>
      </c>
      <c r="B1024" s="29">
        <v>45829</v>
      </c>
      <c r="C1024">
        <v>8.1941449313571404</v>
      </c>
    </row>
    <row r="1025" spans="1:3" x14ac:dyDescent="0.45">
      <c r="A1025" s="28">
        <v>8001841625362</v>
      </c>
      <c r="B1025" s="29">
        <v>45829</v>
      </c>
      <c r="C1025">
        <v>3.6477774735697199</v>
      </c>
    </row>
    <row r="1026" spans="1:3" x14ac:dyDescent="0.45">
      <c r="A1026" s="28">
        <v>8001841893990</v>
      </c>
      <c r="B1026" s="29">
        <v>45829</v>
      </c>
      <c r="C1026">
        <v>3.3596518899719898</v>
      </c>
    </row>
    <row r="1027" spans="1:3" x14ac:dyDescent="0.45">
      <c r="A1027" s="28">
        <v>8006540429327</v>
      </c>
      <c r="B1027" s="29">
        <v>45829</v>
      </c>
      <c r="C1027">
        <v>8.2551510781061399</v>
      </c>
    </row>
    <row r="1028" spans="1:3" x14ac:dyDescent="0.45">
      <c r="A1028" s="28">
        <v>8700216163811</v>
      </c>
      <c r="B1028" s="29">
        <v>45829</v>
      </c>
      <c r="C1028">
        <v>8.3322349266486295</v>
      </c>
    </row>
    <row r="1029" spans="1:3" x14ac:dyDescent="0.45">
      <c r="A1029" s="28">
        <v>8700216236034</v>
      </c>
      <c r="B1029" s="29">
        <v>45829</v>
      </c>
      <c r="C1029">
        <v>3.5013011553483402</v>
      </c>
    </row>
    <row r="1030" spans="1:3" x14ac:dyDescent="0.45">
      <c r="A1030" s="28">
        <v>8700216236751</v>
      </c>
      <c r="B1030" s="29">
        <v>45829</v>
      </c>
      <c r="C1030">
        <v>3.6469401290393302</v>
      </c>
    </row>
    <row r="1031" spans="1:3" x14ac:dyDescent="0.45">
      <c r="A1031" s="28">
        <v>4084500088917</v>
      </c>
      <c r="B1031" s="29">
        <v>45830</v>
      </c>
      <c r="C1031">
        <v>4.2005430397281902</v>
      </c>
    </row>
    <row r="1032" spans="1:3" x14ac:dyDescent="0.45">
      <c r="A1032" s="28">
        <v>4084500853836</v>
      </c>
      <c r="B1032" s="29">
        <v>45830</v>
      </c>
      <c r="C1032">
        <v>4.19110906717916</v>
      </c>
    </row>
    <row r="1033" spans="1:3" x14ac:dyDescent="0.45">
      <c r="A1033" s="28">
        <v>7290000286921</v>
      </c>
      <c r="B1033" s="29">
        <v>45830</v>
      </c>
      <c r="C1033">
        <v>1.32245141760748</v>
      </c>
    </row>
    <row r="1034" spans="1:3" x14ac:dyDescent="0.45">
      <c r="A1034" s="28">
        <v>7290000288024</v>
      </c>
      <c r="B1034" s="29">
        <v>45830</v>
      </c>
      <c r="C1034">
        <v>4.2299322177998304</v>
      </c>
    </row>
    <row r="1035" spans="1:3" x14ac:dyDescent="0.45">
      <c r="A1035" s="28">
        <v>7290000288307</v>
      </c>
      <c r="B1035" s="29">
        <v>45830</v>
      </c>
      <c r="C1035">
        <v>1.21581453211719</v>
      </c>
    </row>
    <row r="1036" spans="1:3" x14ac:dyDescent="0.45">
      <c r="A1036" s="28">
        <v>7290000288659</v>
      </c>
      <c r="B1036" s="29">
        <v>45830</v>
      </c>
      <c r="C1036">
        <v>1.21378588921742</v>
      </c>
    </row>
    <row r="1037" spans="1:3" x14ac:dyDescent="0.45">
      <c r="A1037" s="28">
        <v>7290000292915</v>
      </c>
      <c r="B1037" s="29">
        <v>45830</v>
      </c>
      <c r="C1037">
        <v>1.9504898689889101</v>
      </c>
    </row>
    <row r="1038" spans="1:3" x14ac:dyDescent="0.45">
      <c r="A1038" s="28">
        <v>7290000294780</v>
      </c>
      <c r="B1038" s="29">
        <v>45830</v>
      </c>
      <c r="C1038">
        <v>4.1795488724362402</v>
      </c>
    </row>
    <row r="1039" spans="1:3" x14ac:dyDescent="0.45">
      <c r="A1039" s="28">
        <v>7290000295367</v>
      </c>
      <c r="B1039" s="29">
        <v>45830</v>
      </c>
      <c r="C1039">
        <v>1.7668677508136399</v>
      </c>
    </row>
    <row r="1040" spans="1:3" x14ac:dyDescent="0.45">
      <c r="A1040" s="28">
        <v>7290000295541</v>
      </c>
      <c r="B1040" s="29">
        <v>45830</v>
      </c>
      <c r="C1040">
        <v>1.21851255968635</v>
      </c>
    </row>
    <row r="1041" spans="1:3" x14ac:dyDescent="0.45">
      <c r="A1041" s="28">
        <v>7290001246610</v>
      </c>
      <c r="B1041" s="29">
        <v>45830</v>
      </c>
      <c r="C1041">
        <v>1.7734305948460101</v>
      </c>
    </row>
    <row r="1042" spans="1:3" x14ac:dyDescent="0.45">
      <c r="A1042" s="28">
        <v>7290005424700</v>
      </c>
      <c r="B1042" s="29">
        <v>45830</v>
      </c>
      <c r="C1042">
        <v>1.9776703530331701</v>
      </c>
    </row>
    <row r="1043" spans="1:3" x14ac:dyDescent="0.45">
      <c r="A1043" s="28">
        <v>7290005425110</v>
      </c>
      <c r="B1043" s="29">
        <v>45830</v>
      </c>
      <c r="C1043">
        <v>1.9040390407955901</v>
      </c>
    </row>
    <row r="1044" spans="1:3" x14ac:dyDescent="0.45">
      <c r="A1044" s="28">
        <v>7290005425196</v>
      </c>
      <c r="B1044" s="29">
        <v>45830</v>
      </c>
      <c r="C1044">
        <v>1.7610651523740299</v>
      </c>
    </row>
    <row r="1045" spans="1:3" x14ac:dyDescent="0.45">
      <c r="A1045" s="28">
        <v>7290012116025</v>
      </c>
      <c r="B1045" s="29">
        <v>45830</v>
      </c>
      <c r="C1045">
        <v>1.9664437397813599</v>
      </c>
    </row>
    <row r="1046" spans="1:3" x14ac:dyDescent="0.45">
      <c r="A1046" s="28">
        <v>7290012117534</v>
      </c>
      <c r="B1046" s="29">
        <v>45830</v>
      </c>
      <c r="C1046">
        <v>1.75882131398357</v>
      </c>
    </row>
    <row r="1047" spans="1:3" x14ac:dyDescent="0.45">
      <c r="A1047" s="28">
        <v>7290013268204</v>
      </c>
      <c r="B1047" s="29">
        <v>45830</v>
      </c>
      <c r="C1047">
        <v>1.2293883823729099</v>
      </c>
    </row>
    <row r="1048" spans="1:3" x14ac:dyDescent="0.45">
      <c r="A1048" s="28">
        <v>7290013268891</v>
      </c>
      <c r="B1048" s="29">
        <v>45830</v>
      </c>
      <c r="C1048">
        <v>1.7760616567918399</v>
      </c>
    </row>
    <row r="1049" spans="1:3" x14ac:dyDescent="0.45">
      <c r="A1049" s="28">
        <v>7290013269003</v>
      </c>
      <c r="B1049" s="29">
        <v>45830</v>
      </c>
      <c r="C1049">
        <v>1.7440432466008899</v>
      </c>
    </row>
    <row r="1050" spans="1:3" x14ac:dyDescent="0.45">
      <c r="A1050" s="28">
        <v>7290014397453</v>
      </c>
      <c r="B1050" s="29">
        <v>45830</v>
      </c>
      <c r="C1050">
        <v>1.77135818512659</v>
      </c>
    </row>
    <row r="1051" spans="1:3" x14ac:dyDescent="0.45">
      <c r="A1051" s="28">
        <v>7290019274483</v>
      </c>
      <c r="B1051" s="29">
        <v>45830</v>
      </c>
      <c r="C1051">
        <v>1.7626200868965001</v>
      </c>
    </row>
    <row r="1052" spans="1:3" x14ac:dyDescent="0.45">
      <c r="A1052" s="28">
        <v>7290019274490</v>
      </c>
      <c r="B1052" s="29">
        <v>45830</v>
      </c>
      <c r="C1052">
        <v>1.7518229228368201</v>
      </c>
    </row>
    <row r="1053" spans="1:3" x14ac:dyDescent="0.45">
      <c r="A1053" s="28">
        <v>7290019611325</v>
      </c>
      <c r="B1053" s="29">
        <v>45830</v>
      </c>
      <c r="C1053">
        <v>1.74307596287453</v>
      </c>
    </row>
    <row r="1054" spans="1:3" x14ac:dyDescent="0.45">
      <c r="A1054" s="28">
        <v>7290103702489</v>
      </c>
      <c r="B1054" s="29">
        <v>45830</v>
      </c>
      <c r="C1054">
        <v>4.1885631725278403</v>
      </c>
    </row>
    <row r="1055" spans="1:3" x14ac:dyDescent="0.45">
      <c r="A1055" s="28">
        <v>7290103703370</v>
      </c>
      <c r="B1055" s="29">
        <v>45830</v>
      </c>
      <c r="C1055">
        <v>4.2064366290760704</v>
      </c>
    </row>
    <row r="1056" spans="1:3" x14ac:dyDescent="0.45">
      <c r="A1056" s="28">
        <v>7290103704155</v>
      </c>
      <c r="B1056" s="29">
        <v>45830</v>
      </c>
      <c r="C1056">
        <v>4.1778722472194803</v>
      </c>
    </row>
    <row r="1057" spans="1:3" x14ac:dyDescent="0.45">
      <c r="A1057" s="28">
        <v>7290103704179</v>
      </c>
      <c r="B1057" s="29">
        <v>45830</v>
      </c>
      <c r="C1057">
        <v>4.2079251410531704</v>
      </c>
    </row>
    <row r="1058" spans="1:3" x14ac:dyDescent="0.45">
      <c r="A1058" s="28">
        <v>7290103704919</v>
      </c>
      <c r="B1058" s="29">
        <v>45830</v>
      </c>
      <c r="C1058">
        <v>4.1774663754573904</v>
      </c>
    </row>
    <row r="1059" spans="1:3" x14ac:dyDescent="0.45">
      <c r="A1059" s="28">
        <v>7290107280099</v>
      </c>
      <c r="B1059" s="29">
        <v>45830</v>
      </c>
      <c r="C1059">
        <v>1.2250064376612599</v>
      </c>
    </row>
    <row r="1060" spans="1:3" x14ac:dyDescent="0.45">
      <c r="A1060" s="28">
        <v>7290108351699</v>
      </c>
      <c r="B1060" s="29">
        <v>45830</v>
      </c>
      <c r="C1060">
        <v>1.97116295675054</v>
      </c>
    </row>
    <row r="1061" spans="1:3" x14ac:dyDescent="0.45">
      <c r="A1061" s="28">
        <v>7290108352702</v>
      </c>
      <c r="B1061" s="29">
        <v>45830</v>
      </c>
      <c r="C1061">
        <v>1.2089688741281599</v>
      </c>
    </row>
    <row r="1062" spans="1:3" x14ac:dyDescent="0.45">
      <c r="A1062" s="28">
        <v>7290108356298</v>
      </c>
      <c r="B1062" s="29">
        <v>45830</v>
      </c>
      <c r="C1062">
        <v>1.9436323437873599</v>
      </c>
    </row>
    <row r="1063" spans="1:3" x14ac:dyDescent="0.45">
      <c r="A1063" s="28">
        <v>7290108356700</v>
      </c>
      <c r="B1063" s="29">
        <v>45830</v>
      </c>
      <c r="C1063">
        <v>1.21813370837487</v>
      </c>
    </row>
    <row r="1064" spans="1:3" x14ac:dyDescent="0.45">
      <c r="A1064" s="28">
        <v>7290108356717</v>
      </c>
      <c r="B1064" s="29">
        <v>45830</v>
      </c>
      <c r="C1064">
        <v>1.92910692758131</v>
      </c>
    </row>
    <row r="1065" spans="1:3" x14ac:dyDescent="0.45">
      <c r="A1065" s="28">
        <v>7290108356724</v>
      </c>
      <c r="B1065" s="29">
        <v>45830</v>
      </c>
      <c r="C1065">
        <v>1.9325439463259</v>
      </c>
    </row>
    <row r="1066" spans="1:3" x14ac:dyDescent="0.45">
      <c r="A1066" s="28">
        <v>7290108357240</v>
      </c>
      <c r="B1066" s="29">
        <v>45830</v>
      </c>
      <c r="C1066">
        <v>1.7640132493893299</v>
      </c>
    </row>
    <row r="1067" spans="1:3" x14ac:dyDescent="0.45">
      <c r="A1067" s="28">
        <v>7290108357288</v>
      </c>
      <c r="B1067" s="29">
        <v>45830</v>
      </c>
      <c r="C1067">
        <v>4.19183204759499</v>
      </c>
    </row>
    <row r="1068" spans="1:3" x14ac:dyDescent="0.45">
      <c r="A1068" s="28">
        <v>7290108357844</v>
      </c>
      <c r="B1068" s="29">
        <v>45830</v>
      </c>
      <c r="C1068">
        <v>1.95795043874387</v>
      </c>
    </row>
    <row r="1069" spans="1:3" x14ac:dyDescent="0.45">
      <c r="A1069" s="28">
        <v>7290108359077</v>
      </c>
      <c r="B1069" s="29">
        <v>45830</v>
      </c>
      <c r="C1069">
        <v>1.2098983478365499</v>
      </c>
    </row>
    <row r="1070" spans="1:3" x14ac:dyDescent="0.45">
      <c r="A1070" s="28">
        <v>7290108359176</v>
      </c>
      <c r="B1070" s="29">
        <v>45830</v>
      </c>
      <c r="C1070">
        <v>1.2151544318971099</v>
      </c>
    </row>
    <row r="1071" spans="1:3" x14ac:dyDescent="0.45">
      <c r="A1071" s="28">
        <v>7290108359190</v>
      </c>
      <c r="B1071" s="29">
        <v>45830</v>
      </c>
      <c r="C1071">
        <v>1.2130514785267501</v>
      </c>
    </row>
    <row r="1072" spans="1:3" x14ac:dyDescent="0.45">
      <c r="A1072" s="28">
        <v>8001090184375</v>
      </c>
      <c r="B1072" s="29">
        <v>45830</v>
      </c>
      <c r="C1072">
        <v>1.42033292869081</v>
      </c>
    </row>
    <row r="1073" spans="1:3" x14ac:dyDescent="0.45">
      <c r="A1073" s="28">
        <v>8001090184412</v>
      </c>
      <c r="B1073" s="29">
        <v>45830</v>
      </c>
      <c r="C1073">
        <v>4.1544202158170798</v>
      </c>
    </row>
    <row r="1074" spans="1:3" x14ac:dyDescent="0.45">
      <c r="A1074" s="28">
        <v>8001841625362</v>
      </c>
      <c r="B1074" s="29">
        <v>45830</v>
      </c>
      <c r="C1074">
        <v>1.7719170835956799</v>
      </c>
    </row>
    <row r="1075" spans="1:3" x14ac:dyDescent="0.45">
      <c r="A1075" s="28">
        <v>8001841893990</v>
      </c>
      <c r="B1075" s="29">
        <v>45830</v>
      </c>
      <c r="C1075">
        <v>1.2150334158454299</v>
      </c>
    </row>
    <row r="1076" spans="1:3" x14ac:dyDescent="0.45">
      <c r="A1076" s="28">
        <v>8006540429327</v>
      </c>
      <c r="B1076" s="29">
        <v>45830</v>
      </c>
      <c r="C1076">
        <v>4.1541784708175298</v>
      </c>
    </row>
    <row r="1077" spans="1:3" x14ac:dyDescent="0.45">
      <c r="A1077" s="28">
        <v>8700216163811</v>
      </c>
      <c r="B1077" s="29">
        <v>45830</v>
      </c>
      <c r="C1077">
        <v>4.1449574418996704</v>
      </c>
    </row>
    <row r="1078" spans="1:3" x14ac:dyDescent="0.45">
      <c r="A1078" s="28">
        <v>8700216236034</v>
      </c>
      <c r="B1078" s="29">
        <v>45830</v>
      </c>
      <c r="C1078">
        <v>1.4404991827079701</v>
      </c>
    </row>
    <row r="1079" spans="1:3" x14ac:dyDescent="0.45">
      <c r="A1079" s="28">
        <v>8700216236751</v>
      </c>
      <c r="B1079" s="29">
        <v>45830</v>
      </c>
      <c r="C1079">
        <v>1.7579145716903299</v>
      </c>
    </row>
    <row r="1080" spans="1:3" x14ac:dyDescent="0.45">
      <c r="A1080" s="28">
        <v>4084500088917</v>
      </c>
      <c r="B1080" s="29">
        <v>45831</v>
      </c>
      <c r="C1080">
        <v>4.2005430397281902</v>
      </c>
    </row>
    <row r="1081" spans="1:3" x14ac:dyDescent="0.45">
      <c r="A1081" s="28">
        <v>4084500853836</v>
      </c>
      <c r="B1081" s="29">
        <v>45831</v>
      </c>
      <c r="C1081">
        <v>4.19110906717916</v>
      </c>
    </row>
    <row r="1082" spans="1:3" x14ac:dyDescent="0.45">
      <c r="A1082" s="28">
        <v>7290000286921</v>
      </c>
      <c r="B1082" s="29">
        <v>45831</v>
      </c>
      <c r="C1082">
        <v>1.32245141760748</v>
      </c>
    </row>
    <row r="1083" spans="1:3" x14ac:dyDescent="0.45">
      <c r="A1083" s="28">
        <v>7290000288024</v>
      </c>
      <c r="B1083" s="29">
        <v>45831</v>
      </c>
      <c r="C1083">
        <v>4.2299322177998304</v>
      </c>
    </row>
    <row r="1084" spans="1:3" x14ac:dyDescent="0.45">
      <c r="A1084" s="28">
        <v>7290000288307</v>
      </c>
      <c r="B1084" s="29">
        <v>45831</v>
      </c>
      <c r="C1084">
        <v>1.21581453211719</v>
      </c>
    </row>
    <row r="1085" spans="1:3" x14ac:dyDescent="0.45">
      <c r="A1085" s="28">
        <v>7290000288659</v>
      </c>
      <c r="B1085" s="29">
        <v>45831</v>
      </c>
      <c r="C1085">
        <v>1.21378588921742</v>
      </c>
    </row>
    <row r="1086" spans="1:3" x14ac:dyDescent="0.45">
      <c r="A1086" s="28">
        <v>7290000292915</v>
      </c>
      <c r="B1086" s="29">
        <v>45831</v>
      </c>
      <c r="C1086">
        <v>1.9504898689889101</v>
      </c>
    </row>
    <row r="1087" spans="1:3" x14ac:dyDescent="0.45">
      <c r="A1087" s="28">
        <v>7290000294780</v>
      </c>
      <c r="B1087" s="29">
        <v>45831</v>
      </c>
      <c r="C1087">
        <v>4.1795488724362402</v>
      </c>
    </row>
    <row r="1088" spans="1:3" x14ac:dyDescent="0.45">
      <c r="A1088" s="28">
        <v>7290000295367</v>
      </c>
      <c r="B1088" s="29">
        <v>45831</v>
      </c>
      <c r="C1088">
        <v>1.7668677508136399</v>
      </c>
    </row>
    <row r="1089" spans="1:3" x14ac:dyDescent="0.45">
      <c r="A1089" s="28">
        <v>7290000295541</v>
      </c>
      <c r="B1089" s="29">
        <v>45831</v>
      </c>
      <c r="C1089">
        <v>1.21851255968635</v>
      </c>
    </row>
    <row r="1090" spans="1:3" x14ac:dyDescent="0.45">
      <c r="A1090" s="28">
        <v>7290001246610</v>
      </c>
      <c r="B1090" s="29">
        <v>45831</v>
      </c>
      <c r="C1090">
        <v>1.7734305948460101</v>
      </c>
    </row>
    <row r="1091" spans="1:3" x14ac:dyDescent="0.45">
      <c r="A1091" s="28">
        <v>7290005424700</v>
      </c>
      <c r="B1091" s="29">
        <v>45831</v>
      </c>
      <c r="C1091">
        <v>1.9776703530331701</v>
      </c>
    </row>
    <row r="1092" spans="1:3" x14ac:dyDescent="0.45">
      <c r="A1092" s="28">
        <v>7290005425110</v>
      </c>
      <c r="B1092" s="29">
        <v>45831</v>
      </c>
      <c r="C1092">
        <v>1.9040390407955901</v>
      </c>
    </row>
    <row r="1093" spans="1:3" x14ac:dyDescent="0.45">
      <c r="A1093" s="28">
        <v>7290005425196</v>
      </c>
      <c r="B1093" s="29">
        <v>45831</v>
      </c>
      <c r="C1093">
        <v>1.7610651523740299</v>
      </c>
    </row>
    <row r="1094" spans="1:3" x14ac:dyDescent="0.45">
      <c r="A1094" s="28">
        <v>7290012116025</v>
      </c>
      <c r="B1094" s="29">
        <v>45831</v>
      </c>
      <c r="C1094">
        <v>1.9664437397813599</v>
      </c>
    </row>
    <row r="1095" spans="1:3" x14ac:dyDescent="0.45">
      <c r="A1095" s="28">
        <v>7290012117534</v>
      </c>
      <c r="B1095" s="29">
        <v>45831</v>
      </c>
      <c r="C1095">
        <v>1.75882131398357</v>
      </c>
    </row>
    <row r="1096" spans="1:3" x14ac:dyDescent="0.45">
      <c r="A1096" s="28">
        <v>7290013268204</v>
      </c>
      <c r="B1096" s="29">
        <v>45831</v>
      </c>
      <c r="C1096">
        <v>1.2293883823729099</v>
      </c>
    </row>
    <row r="1097" spans="1:3" x14ac:dyDescent="0.45">
      <c r="A1097" s="28">
        <v>7290013268891</v>
      </c>
      <c r="B1097" s="29">
        <v>45831</v>
      </c>
      <c r="C1097">
        <v>1.7760616567918399</v>
      </c>
    </row>
    <row r="1098" spans="1:3" x14ac:dyDescent="0.45">
      <c r="A1098" s="28">
        <v>7290013269003</v>
      </c>
      <c r="B1098" s="29">
        <v>45831</v>
      </c>
      <c r="C1098">
        <v>1.7440432466008899</v>
      </c>
    </row>
    <row r="1099" spans="1:3" x14ac:dyDescent="0.45">
      <c r="A1099" s="28">
        <v>7290014397453</v>
      </c>
      <c r="B1099" s="29">
        <v>45831</v>
      </c>
      <c r="C1099">
        <v>1.77135818512659</v>
      </c>
    </row>
    <row r="1100" spans="1:3" x14ac:dyDescent="0.45">
      <c r="A1100" s="28">
        <v>7290019274483</v>
      </c>
      <c r="B1100" s="29">
        <v>45831</v>
      </c>
      <c r="C1100">
        <v>1.7626200868965001</v>
      </c>
    </row>
    <row r="1101" spans="1:3" x14ac:dyDescent="0.45">
      <c r="A1101" s="28">
        <v>7290019274490</v>
      </c>
      <c r="B1101" s="29">
        <v>45831</v>
      </c>
      <c r="C1101">
        <v>1.7518229228368201</v>
      </c>
    </row>
    <row r="1102" spans="1:3" x14ac:dyDescent="0.45">
      <c r="A1102" s="28">
        <v>7290019611325</v>
      </c>
      <c r="B1102" s="29">
        <v>45831</v>
      </c>
      <c r="C1102">
        <v>1.74307596287453</v>
      </c>
    </row>
    <row r="1103" spans="1:3" x14ac:dyDescent="0.45">
      <c r="A1103" s="28">
        <v>7290103702489</v>
      </c>
      <c r="B1103" s="29">
        <v>45831</v>
      </c>
      <c r="C1103">
        <v>4.1885631725278403</v>
      </c>
    </row>
    <row r="1104" spans="1:3" x14ac:dyDescent="0.45">
      <c r="A1104" s="28">
        <v>7290103703370</v>
      </c>
      <c r="B1104" s="29">
        <v>45831</v>
      </c>
      <c r="C1104">
        <v>4.2064366290760704</v>
      </c>
    </row>
    <row r="1105" spans="1:3" x14ac:dyDescent="0.45">
      <c r="A1105" s="28">
        <v>7290103704155</v>
      </c>
      <c r="B1105" s="29">
        <v>45831</v>
      </c>
      <c r="C1105">
        <v>4.1778722472194803</v>
      </c>
    </row>
    <row r="1106" spans="1:3" x14ac:dyDescent="0.45">
      <c r="A1106" s="28">
        <v>7290103704179</v>
      </c>
      <c r="B1106" s="29">
        <v>45831</v>
      </c>
      <c r="C1106">
        <v>4.2079251410531704</v>
      </c>
    </row>
    <row r="1107" spans="1:3" x14ac:dyDescent="0.45">
      <c r="A1107" s="28">
        <v>7290103704919</v>
      </c>
      <c r="B1107" s="29">
        <v>45831</v>
      </c>
      <c r="C1107">
        <v>4.1774663754573904</v>
      </c>
    </row>
    <row r="1108" spans="1:3" x14ac:dyDescent="0.45">
      <c r="A1108" s="28">
        <v>7290107280099</v>
      </c>
      <c r="B1108" s="29">
        <v>45831</v>
      </c>
      <c r="C1108">
        <v>1.2250064376612599</v>
      </c>
    </row>
    <row r="1109" spans="1:3" x14ac:dyDescent="0.45">
      <c r="A1109" s="28">
        <v>7290108351699</v>
      </c>
      <c r="B1109" s="29">
        <v>45831</v>
      </c>
      <c r="C1109">
        <v>1.97116295675054</v>
      </c>
    </row>
    <row r="1110" spans="1:3" x14ac:dyDescent="0.45">
      <c r="A1110" s="28">
        <v>7290108352702</v>
      </c>
      <c r="B1110" s="29">
        <v>45831</v>
      </c>
      <c r="C1110">
        <v>1.2089688741281599</v>
      </c>
    </row>
    <row r="1111" spans="1:3" x14ac:dyDescent="0.45">
      <c r="A1111" s="28">
        <v>7290108356298</v>
      </c>
      <c r="B1111" s="29">
        <v>45831</v>
      </c>
      <c r="C1111">
        <v>1.9436323437873599</v>
      </c>
    </row>
    <row r="1112" spans="1:3" x14ac:dyDescent="0.45">
      <c r="A1112" s="28">
        <v>7290108356700</v>
      </c>
      <c r="B1112" s="29">
        <v>45831</v>
      </c>
      <c r="C1112">
        <v>1.21813370837487</v>
      </c>
    </row>
    <row r="1113" spans="1:3" x14ac:dyDescent="0.45">
      <c r="A1113" s="28">
        <v>7290108356717</v>
      </c>
      <c r="B1113" s="29">
        <v>45831</v>
      </c>
      <c r="C1113">
        <v>1.92910692758131</v>
      </c>
    </row>
    <row r="1114" spans="1:3" x14ac:dyDescent="0.45">
      <c r="A1114" s="28">
        <v>7290108356724</v>
      </c>
      <c r="B1114" s="29">
        <v>45831</v>
      </c>
      <c r="C1114">
        <v>1.9325439463259</v>
      </c>
    </row>
    <row r="1115" spans="1:3" x14ac:dyDescent="0.45">
      <c r="A1115" s="28">
        <v>7290108357240</v>
      </c>
      <c r="B1115" s="29">
        <v>45831</v>
      </c>
      <c r="C1115">
        <v>1.7640132493893299</v>
      </c>
    </row>
    <row r="1116" spans="1:3" x14ac:dyDescent="0.45">
      <c r="A1116" s="28">
        <v>7290108357288</v>
      </c>
      <c r="B1116" s="29">
        <v>45831</v>
      </c>
      <c r="C1116">
        <v>4.19183204759499</v>
      </c>
    </row>
    <row r="1117" spans="1:3" x14ac:dyDescent="0.45">
      <c r="A1117" s="28">
        <v>7290108357844</v>
      </c>
      <c r="B1117" s="29">
        <v>45831</v>
      </c>
      <c r="C1117">
        <v>1.95795043874387</v>
      </c>
    </row>
    <row r="1118" spans="1:3" x14ac:dyDescent="0.45">
      <c r="A1118" s="28">
        <v>7290108359077</v>
      </c>
      <c r="B1118" s="29">
        <v>45831</v>
      </c>
      <c r="C1118">
        <v>1.2098983478365499</v>
      </c>
    </row>
    <row r="1119" spans="1:3" x14ac:dyDescent="0.45">
      <c r="A1119" s="28">
        <v>7290108359176</v>
      </c>
      <c r="B1119" s="29">
        <v>45831</v>
      </c>
      <c r="C1119">
        <v>1.2151544318971099</v>
      </c>
    </row>
    <row r="1120" spans="1:3" x14ac:dyDescent="0.45">
      <c r="A1120" s="28">
        <v>7290108359190</v>
      </c>
      <c r="B1120" s="29">
        <v>45831</v>
      </c>
      <c r="C1120">
        <v>1.2130514785267501</v>
      </c>
    </row>
    <row r="1121" spans="1:3" x14ac:dyDescent="0.45">
      <c r="A1121" s="28">
        <v>8001090184375</v>
      </c>
      <c r="B1121" s="29">
        <v>45831</v>
      </c>
      <c r="C1121">
        <v>1.42033292869081</v>
      </c>
    </row>
    <row r="1122" spans="1:3" x14ac:dyDescent="0.45">
      <c r="A1122" s="28">
        <v>8001090184412</v>
      </c>
      <c r="B1122" s="29">
        <v>45831</v>
      </c>
      <c r="C1122">
        <v>4.1544202158170798</v>
      </c>
    </row>
    <row r="1123" spans="1:3" x14ac:dyDescent="0.45">
      <c r="A1123" s="28">
        <v>8001841625362</v>
      </c>
      <c r="B1123" s="29">
        <v>45831</v>
      </c>
      <c r="C1123">
        <v>1.7719170835956799</v>
      </c>
    </row>
    <row r="1124" spans="1:3" x14ac:dyDescent="0.45">
      <c r="A1124" s="28">
        <v>8001841893990</v>
      </c>
      <c r="B1124" s="29">
        <v>45831</v>
      </c>
      <c r="C1124">
        <v>1.2150334158454299</v>
      </c>
    </row>
    <row r="1125" spans="1:3" x14ac:dyDescent="0.45">
      <c r="A1125" s="28">
        <v>8006540429327</v>
      </c>
      <c r="B1125" s="29">
        <v>45831</v>
      </c>
      <c r="C1125">
        <v>4.1541784708175298</v>
      </c>
    </row>
    <row r="1126" spans="1:3" x14ac:dyDescent="0.45">
      <c r="A1126" s="28">
        <v>8700216163811</v>
      </c>
      <c r="B1126" s="29">
        <v>45831</v>
      </c>
      <c r="C1126">
        <v>4.1449574418996704</v>
      </c>
    </row>
    <row r="1127" spans="1:3" x14ac:dyDescent="0.45">
      <c r="A1127" s="28">
        <v>8700216236034</v>
      </c>
      <c r="B1127" s="29">
        <v>45831</v>
      </c>
      <c r="C1127">
        <v>1.4404991827079701</v>
      </c>
    </row>
    <row r="1128" spans="1:3" x14ac:dyDescent="0.45">
      <c r="A1128" s="28">
        <v>8700216236751</v>
      </c>
      <c r="B1128" s="29">
        <v>45831</v>
      </c>
      <c r="C1128">
        <v>1.7579145716903299</v>
      </c>
    </row>
    <row r="1129" spans="1:3" x14ac:dyDescent="0.45">
      <c r="A1129" s="28">
        <v>4084500088917</v>
      </c>
      <c r="B1129" s="29">
        <v>45832</v>
      </c>
      <c r="C1129">
        <v>4.2005430397281902</v>
      </c>
    </row>
    <row r="1130" spans="1:3" x14ac:dyDescent="0.45">
      <c r="A1130" s="28">
        <v>4084500853836</v>
      </c>
      <c r="B1130" s="29">
        <v>45832</v>
      </c>
      <c r="C1130">
        <v>4.19110906717916</v>
      </c>
    </row>
    <row r="1131" spans="1:3" x14ac:dyDescent="0.45">
      <c r="A1131" s="28">
        <v>7290000286921</v>
      </c>
      <c r="B1131" s="29">
        <v>45832</v>
      </c>
      <c r="C1131">
        <v>1.32245141760748</v>
      </c>
    </row>
    <row r="1132" spans="1:3" x14ac:dyDescent="0.45">
      <c r="A1132" s="28">
        <v>7290000288024</v>
      </c>
      <c r="B1132" s="29">
        <v>45832</v>
      </c>
      <c r="C1132">
        <v>4.2299322177998304</v>
      </c>
    </row>
    <row r="1133" spans="1:3" x14ac:dyDescent="0.45">
      <c r="A1133" s="28">
        <v>7290000288307</v>
      </c>
      <c r="B1133" s="29">
        <v>45832</v>
      </c>
      <c r="C1133">
        <v>1.21581453211719</v>
      </c>
    </row>
    <row r="1134" spans="1:3" x14ac:dyDescent="0.45">
      <c r="A1134" s="28">
        <v>7290000288659</v>
      </c>
      <c r="B1134" s="29">
        <v>45832</v>
      </c>
      <c r="C1134">
        <v>1.21378588921742</v>
      </c>
    </row>
    <row r="1135" spans="1:3" x14ac:dyDescent="0.45">
      <c r="A1135" s="28">
        <v>7290000292915</v>
      </c>
      <c r="B1135" s="29">
        <v>45832</v>
      </c>
      <c r="C1135">
        <v>1.9504898689889101</v>
      </c>
    </row>
    <row r="1136" spans="1:3" x14ac:dyDescent="0.45">
      <c r="A1136" s="28">
        <v>7290000294780</v>
      </c>
      <c r="B1136" s="29">
        <v>45832</v>
      </c>
      <c r="C1136">
        <v>4.1795488724362402</v>
      </c>
    </row>
    <row r="1137" spans="1:3" x14ac:dyDescent="0.45">
      <c r="A1137" s="28">
        <v>7290000295367</v>
      </c>
      <c r="B1137" s="29">
        <v>45832</v>
      </c>
      <c r="C1137">
        <v>1.7668677508136399</v>
      </c>
    </row>
    <row r="1138" spans="1:3" x14ac:dyDescent="0.45">
      <c r="A1138" s="28">
        <v>7290000295541</v>
      </c>
      <c r="B1138" s="29">
        <v>45832</v>
      </c>
      <c r="C1138">
        <v>1.21851255968635</v>
      </c>
    </row>
    <row r="1139" spans="1:3" x14ac:dyDescent="0.45">
      <c r="A1139" s="28">
        <v>7290001246610</v>
      </c>
      <c r="B1139" s="29">
        <v>45832</v>
      </c>
      <c r="C1139">
        <v>1.7734305948460101</v>
      </c>
    </row>
    <row r="1140" spans="1:3" x14ac:dyDescent="0.45">
      <c r="A1140" s="28">
        <v>7290005424700</v>
      </c>
      <c r="B1140" s="29">
        <v>45832</v>
      </c>
      <c r="C1140">
        <v>1.9776703530331701</v>
      </c>
    </row>
    <row r="1141" spans="1:3" x14ac:dyDescent="0.45">
      <c r="A1141" s="28">
        <v>7290005425110</v>
      </c>
      <c r="B1141" s="29">
        <v>45832</v>
      </c>
      <c r="C1141">
        <v>1.9040390407955901</v>
      </c>
    </row>
    <row r="1142" spans="1:3" x14ac:dyDescent="0.45">
      <c r="A1142" s="28">
        <v>7290005425196</v>
      </c>
      <c r="B1142" s="29">
        <v>45832</v>
      </c>
      <c r="C1142">
        <v>1.7610651523740299</v>
      </c>
    </row>
    <row r="1143" spans="1:3" x14ac:dyDescent="0.45">
      <c r="A1143" s="28">
        <v>7290012116025</v>
      </c>
      <c r="B1143" s="29">
        <v>45832</v>
      </c>
      <c r="C1143">
        <v>1.9664437397813599</v>
      </c>
    </row>
    <row r="1144" spans="1:3" x14ac:dyDescent="0.45">
      <c r="A1144" s="28">
        <v>7290012117534</v>
      </c>
      <c r="B1144" s="29">
        <v>45832</v>
      </c>
      <c r="C1144">
        <v>1.75882131398357</v>
      </c>
    </row>
    <row r="1145" spans="1:3" x14ac:dyDescent="0.45">
      <c r="A1145" s="28">
        <v>7290013268204</v>
      </c>
      <c r="B1145" s="29">
        <v>45832</v>
      </c>
      <c r="C1145">
        <v>1.2293883823729099</v>
      </c>
    </row>
    <row r="1146" spans="1:3" x14ac:dyDescent="0.45">
      <c r="A1146" s="28">
        <v>7290013268891</v>
      </c>
      <c r="B1146" s="29">
        <v>45832</v>
      </c>
      <c r="C1146">
        <v>1.7760616567918399</v>
      </c>
    </row>
    <row r="1147" spans="1:3" x14ac:dyDescent="0.45">
      <c r="A1147" s="28">
        <v>7290013269003</v>
      </c>
      <c r="B1147" s="29">
        <v>45832</v>
      </c>
      <c r="C1147">
        <v>1.7440432466008899</v>
      </c>
    </row>
    <row r="1148" spans="1:3" x14ac:dyDescent="0.45">
      <c r="A1148" s="28">
        <v>7290014397453</v>
      </c>
      <c r="B1148" s="29">
        <v>45832</v>
      </c>
      <c r="C1148">
        <v>1.77135818512659</v>
      </c>
    </row>
    <row r="1149" spans="1:3" x14ac:dyDescent="0.45">
      <c r="A1149" s="28">
        <v>7290019274483</v>
      </c>
      <c r="B1149" s="29">
        <v>45832</v>
      </c>
      <c r="C1149">
        <v>1.7626200868965001</v>
      </c>
    </row>
    <row r="1150" spans="1:3" x14ac:dyDescent="0.45">
      <c r="A1150" s="28">
        <v>7290019274490</v>
      </c>
      <c r="B1150" s="29">
        <v>45832</v>
      </c>
      <c r="C1150">
        <v>1.7518229228368201</v>
      </c>
    </row>
    <row r="1151" spans="1:3" x14ac:dyDescent="0.45">
      <c r="A1151" s="28">
        <v>7290019611325</v>
      </c>
      <c r="B1151" s="29">
        <v>45832</v>
      </c>
      <c r="C1151">
        <v>1.74307596287453</v>
      </c>
    </row>
    <row r="1152" spans="1:3" x14ac:dyDescent="0.45">
      <c r="A1152" s="28">
        <v>7290103702489</v>
      </c>
      <c r="B1152" s="29">
        <v>45832</v>
      </c>
      <c r="C1152">
        <v>4.1885631725278403</v>
      </c>
    </row>
    <row r="1153" spans="1:3" x14ac:dyDescent="0.45">
      <c r="A1153" s="28">
        <v>7290103703370</v>
      </c>
      <c r="B1153" s="29">
        <v>45832</v>
      </c>
      <c r="C1153">
        <v>4.2064366290760704</v>
      </c>
    </row>
    <row r="1154" spans="1:3" x14ac:dyDescent="0.45">
      <c r="A1154" s="28">
        <v>7290103704155</v>
      </c>
      <c r="B1154" s="29">
        <v>45832</v>
      </c>
      <c r="C1154">
        <v>4.1778722472194803</v>
      </c>
    </row>
    <row r="1155" spans="1:3" x14ac:dyDescent="0.45">
      <c r="A1155" s="28">
        <v>7290103704179</v>
      </c>
      <c r="B1155" s="29">
        <v>45832</v>
      </c>
      <c r="C1155">
        <v>4.2079251410531704</v>
      </c>
    </row>
    <row r="1156" spans="1:3" x14ac:dyDescent="0.45">
      <c r="A1156" s="28">
        <v>7290103704919</v>
      </c>
      <c r="B1156" s="29">
        <v>45832</v>
      </c>
      <c r="C1156">
        <v>4.1774663754573904</v>
      </c>
    </row>
    <row r="1157" spans="1:3" x14ac:dyDescent="0.45">
      <c r="A1157" s="28">
        <v>7290107280099</v>
      </c>
      <c r="B1157" s="29">
        <v>45832</v>
      </c>
      <c r="C1157">
        <v>1.2250064376612599</v>
      </c>
    </row>
    <row r="1158" spans="1:3" x14ac:dyDescent="0.45">
      <c r="A1158" s="28">
        <v>7290108351699</v>
      </c>
      <c r="B1158" s="29">
        <v>45832</v>
      </c>
      <c r="C1158">
        <v>1.97116295675054</v>
      </c>
    </row>
    <row r="1159" spans="1:3" x14ac:dyDescent="0.45">
      <c r="A1159" s="28">
        <v>7290108352702</v>
      </c>
      <c r="B1159" s="29">
        <v>45832</v>
      </c>
      <c r="C1159">
        <v>1.2089688741281599</v>
      </c>
    </row>
    <row r="1160" spans="1:3" x14ac:dyDescent="0.45">
      <c r="A1160" s="28">
        <v>7290108356298</v>
      </c>
      <c r="B1160" s="29">
        <v>45832</v>
      </c>
      <c r="C1160">
        <v>1.9436323437873599</v>
      </c>
    </row>
    <row r="1161" spans="1:3" x14ac:dyDescent="0.45">
      <c r="A1161" s="28">
        <v>7290108356700</v>
      </c>
      <c r="B1161" s="29">
        <v>45832</v>
      </c>
      <c r="C1161">
        <v>1.21813370837487</v>
      </c>
    </row>
    <row r="1162" spans="1:3" x14ac:dyDescent="0.45">
      <c r="A1162" s="28">
        <v>7290108356717</v>
      </c>
      <c r="B1162" s="29">
        <v>45832</v>
      </c>
      <c r="C1162">
        <v>1.92910692758131</v>
      </c>
    </row>
    <row r="1163" spans="1:3" x14ac:dyDescent="0.45">
      <c r="A1163" s="28">
        <v>7290108356724</v>
      </c>
      <c r="B1163" s="29">
        <v>45832</v>
      </c>
      <c r="C1163">
        <v>1.9325439463259</v>
      </c>
    </row>
    <row r="1164" spans="1:3" x14ac:dyDescent="0.45">
      <c r="A1164" s="28">
        <v>7290108357240</v>
      </c>
      <c r="B1164" s="29">
        <v>45832</v>
      </c>
      <c r="C1164">
        <v>1.7640132493893299</v>
      </c>
    </row>
    <row r="1165" spans="1:3" x14ac:dyDescent="0.45">
      <c r="A1165" s="28">
        <v>7290108357288</v>
      </c>
      <c r="B1165" s="29">
        <v>45832</v>
      </c>
      <c r="C1165">
        <v>4.19183204759499</v>
      </c>
    </row>
    <row r="1166" spans="1:3" x14ac:dyDescent="0.45">
      <c r="A1166" s="28">
        <v>7290108357844</v>
      </c>
      <c r="B1166" s="29">
        <v>45832</v>
      </c>
      <c r="C1166">
        <v>1.95795043874387</v>
      </c>
    </row>
    <row r="1167" spans="1:3" x14ac:dyDescent="0.45">
      <c r="A1167" s="28">
        <v>7290108359077</v>
      </c>
      <c r="B1167" s="29">
        <v>45832</v>
      </c>
      <c r="C1167">
        <v>1.2098983478365499</v>
      </c>
    </row>
    <row r="1168" spans="1:3" x14ac:dyDescent="0.45">
      <c r="A1168" s="28">
        <v>7290108359176</v>
      </c>
      <c r="B1168" s="29">
        <v>45832</v>
      </c>
      <c r="C1168">
        <v>1.2151544318971099</v>
      </c>
    </row>
    <row r="1169" spans="1:3" x14ac:dyDescent="0.45">
      <c r="A1169" s="28">
        <v>7290108359190</v>
      </c>
      <c r="B1169" s="29">
        <v>45832</v>
      </c>
      <c r="C1169">
        <v>1.2130514785267501</v>
      </c>
    </row>
    <row r="1170" spans="1:3" x14ac:dyDescent="0.45">
      <c r="A1170" s="28">
        <v>8001090184375</v>
      </c>
      <c r="B1170" s="29">
        <v>45832</v>
      </c>
      <c r="C1170">
        <v>1.42033292869081</v>
      </c>
    </row>
    <row r="1171" spans="1:3" x14ac:dyDescent="0.45">
      <c r="A1171" s="28">
        <v>8001090184412</v>
      </c>
      <c r="B1171" s="29">
        <v>45832</v>
      </c>
      <c r="C1171">
        <v>4.1544202158170798</v>
      </c>
    </row>
    <row r="1172" spans="1:3" x14ac:dyDescent="0.45">
      <c r="A1172" s="28">
        <v>8001841625362</v>
      </c>
      <c r="B1172" s="29">
        <v>45832</v>
      </c>
      <c r="C1172">
        <v>1.7719170835956799</v>
      </c>
    </row>
    <row r="1173" spans="1:3" x14ac:dyDescent="0.45">
      <c r="A1173" s="28">
        <v>8001841893990</v>
      </c>
      <c r="B1173" s="29">
        <v>45832</v>
      </c>
      <c r="C1173">
        <v>1.2150334158454299</v>
      </c>
    </row>
    <row r="1174" spans="1:3" x14ac:dyDescent="0.45">
      <c r="A1174" s="28">
        <v>8006540429327</v>
      </c>
      <c r="B1174" s="29">
        <v>45832</v>
      </c>
      <c r="C1174">
        <v>4.1541784708175298</v>
      </c>
    </row>
    <row r="1175" spans="1:3" x14ac:dyDescent="0.45">
      <c r="A1175" s="28">
        <v>8700216163811</v>
      </c>
      <c r="B1175" s="29">
        <v>45832</v>
      </c>
      <c r="C1175">
        <v>4.1449574418996704</v>
      </c>
    </row>
    <row r="1176" spans="1:3" x14ac:dyDescent="0.45">
      <c r="A1176" s="28">
        <v>8700216236034</v>
      </c>
      <c r="B1176" s="29">
        <v>45832</v>
      </c>
      <c r="C1176">
        <v>1.4404991827079701</v>
      </c>
    </row>
    <row r="1177" spans="1:3" x14ac:dyDescent="0.45">
      <c r="A1177" s="28">
        <v>8700216236751</v>
      </c>
      <c r="B1177" s="29">
        <v>45832</v>
      </c>
      <c r="C1177">
        <v>1.7579145716903299</v>
      </c>
    </row>
    <row r="1178" spans="1:3" x14ac:dyDescent="0.45">
      <c r="A1178" s="28">
        <v>4084500088917</v>
      </c>
      <c r="B1178" s="29">
        <v>45833</v>
      </c>
      <c r="C1178">
        <v>4.2005430397281902</v>
      </c>
    </row>
    <row r="1179" spans="1:3" x14ac:dyDescent="0.45">
      <c r="A1179" s="28">
        <v>4084500853836</v>
      </c>
      <c r="B1179" s="29">
        <v>45833</v>
      </c>
      <c r="C1179">
        <v>4.19110906717916</v>
      </c>
    </row>
    <row r="1180" spans="1:3" x14ac:dyDescent="0.45">
      <c r="A1180" s="28">
        <v>7290000286921</v>
      </c>
      <c r="B1180" s="29">
        <v>45833</v>
      </c>
      <c r="C1180">
        <v>1.32245141760748</v>
      </c>
    </row>
    <row r="1181" spans="1:3" x14ac:dyDescent="0.45">
      <c r="A1181" s="28">
        <v>7290000288024</v>
      </c>
      <c r="B1181" s="29">
        <v>45833</v>
      </c>
      <c r="C1181">
        <v>4.2299322177998304</v>
      </c>
    </row>
    <row r="1182" spans="1:3" x14ac:dyDescent="0.45">
      <c r="A1182" s="28">
        <v>7290000288307</v>
      </c>
      <c r="B1182" s="29">
        <v>45833</v>
      </c>
      <c r="C1182">
        <v>1.21581453211719</v>
      </c>
    </row>
    <row r="1183" spans="1:3" x14ac:dyDescent="0.45">
      <c r="A1183" s="28">
        <v>7290000288659</v>
      </c>
      <c r="B1183" s="29">
        <v>45833</v>
      </c>
      <c r="C1183">
        <v>1.21378588921742</v>
      </c>
    </row>
    <row r="1184" spans="1:3" x14ac:dyDescent="0.45">
      <c r="A1184" s="28">
        <v>7290000292915</v>
      </c>
      <c r="B1184" s="29">
        <v>45833</v>
      </c>
      <c r="C1184">
        <v>1.9504898689889101</v>
      </c>
    </row>
    <row r="1185" spans="1:3" x14ac:dyDescent="0.45">
      <c r="A1185" s="28">
        <v>7290000294780</v>
      </c>
      <c r="B1185" s="29">
        <v>45833</v>
      </c>
      <c r="C1185">
        <v>4.1795488724362402</v>
      </c>
    </row>
    <row r="1186" spans="1:3" x14ac:dyDescent="0.45">
      <c r="A1186" s="28">
        <v>7290000295367</v>
      </c>
      <c r="B1186" s="29">
        <v>45833</v>
      </c>
      <c r="C1186">
        <v>1.7668677508136399</v>
      </c>
    </row>
    <row r="1187" spans="1:3" x14ac:dyDescent="0.45">
      <c r="A1187" s="28">
        <v>7290000295541</v>
      </c>
      <c r="B1187" s="29">
        <v>45833</v>
      </c>
      <c r="C1187">
        <v>1.21851255968635</v>
      </c>
    </row>
    <row r="1188" spans="1:3" x14ac:dyDescent="0.45">
      <c r="A1188" s="28">
        <v>7290001246610</v>
      </c>
      <c r="B1188" s="29">
        <v>45833</v>
      </c>
      <c r="C1188">
        <v>1.7734305948460101</v>
      </c>
    </row>
    <row r="1189" spans="1:3" x14ac:dyDescent="0.45">
      <c r="A1189" s="28">
        <v>7290005424700</v>
      </c>
      <c r="B1189" s="29">
        <v>45833</v>
      </c>
      <c r="C1189">
        <v>1.9776703530331701</v>
      </c>
    </row>
    <row r="1190" spans="1:3" x14ac:dyDescent="0.45">
      <c r="A1190" s="28">
        <v>7290005425110</v>
      </c>
      <c r="B1190" s="29">
        <v>45833</v>
      </c>
      <c r="C1190">
        <v>1.9040390407955901</v>
      </c>
    </row>
    <row r="1191" spans="1:3" x14ac:dyDescent="0.45">
      <c r="A1191" s="28">
        <v>7290005425196</v>
      </c>
      <c r="B1191" s="29">
        <v>45833</v>
      </c>
      <c r="C1191">
        <v>1.7610651523740299</v>
      </c>
    </row>
    <row r="1192" spans="1:3" x14ac:dyDescent="0.45">
      <c r="A1192" s="28">
        <v>7290012116025</v>
      </c>
      <c r="B1192" s="29">
        <v>45833</v>
      </c>
      <c r="C1192">
        <v>1.9664437397813599</v>
      </c>
    </row>
    <row r="1193" spans="1:3" x14ac:dyDescent="0.45">
      <c r="A1193" s="28">
        <v>7290012117534</v>
      </c>
      <c r="B1193" s="29">
        <v>45833</v>
      </c>
      <c r="C1193">
        <v>1.75882131398357</v>
      </c>
    </row>
    <row r="1194" spans="1:3" x14ac:dyDescent="0.45">
      <c r="A1194" s="28">
        <v>7290013268204</v>
      </c>
      <c r="B1194" s="29">
        <v>45833</v>
      </c>
      <c r="C1194">
        <v>1.2293883823729099</v>
      </c>
    </row>
    <row r="1195" spans="1:3" x14ac:dyDescent="0.45">
      <c r="A1195" s="28">
        <v>7290013268891</v>
      </c>
      <c r="B1195" s="29">
        <v>45833</v>
      </c>
      <c r="C1195">
        <v>1.7760616567918399</v>
      </c>
    </row>
    <row r="1196" spans="1:3" x14ac:dyDescent="0.45">
      <c r="A1196" s="28">
        <v>7290013269003</v>
      </c>
      <c r="B1196" s="29">
        <v>45833</v>
      </c>
      <c r="C1196">
        <v>1.7440432466008899</v>
      </c>
    </row>
    <row r="1197" spans="1:3" x14ac:dyDescent="0.45">
      <c r="A1197" s="28">
        <v>7290014397453</v>
      </c>
      <c r="B1197" s="29">
        <v>45833</v>
      </c>
      <c r="C1197">
        <v>1.77135818512659</v>
      </c>
    </row>
    <row r="1198" spans="1:3" x14ac:dyDescent="0.45">
      <c r="A1198" s="28">
        <v>7290019274483</v>
      </c>
      <c r="B1198" s="29">
        <v>45833</v>
      </c>
      <c r="C1198">
        <v>1.7626200868965001</v>
      </c>
    </row>
    <row r="1199" spans="1:3" x14ac:dyDescent="0.45">
      <c r="A1199" s="28">
        <v>7290019274490</v>
      </c>
      <c r="B1199" s="29">
        <v>45833</v>
      </c>
      <c r="C1199">
        <v>1.7518229228368201</v>
      </c>
    </row>
    <row r="1200" spans="1:3" x14ac:dyDescent="0.45">
      <c r="A1200" s="28">
        <v>7290019611325</v>
      </c>
      <c r="B1200" s="29">
        <v>45833</v>
      </c>
      <c r="C1200">
        <v>1.74307596287453</v>
      </c>
    </row>
    <row r="1201" spans="1:3" x14ac:dyDescent="0.45">
      <c r="A1201" s="28">
        <v>7290103702489</v>
      </c>
      <c r="B1201" s="29">
        <v>45833</v>
      </c>
      <c r="C1201">
        <v>4.1885631725278403</v>
      </c>
    </row>
    <row r="1202" spans="1:3" x14ac:dyDescent="0.45">
      <c r="A1202" s="28">
        <v>7290103703370</v>
      </c>
      <c r="B1202" s="29">
        <v>45833</v>
      </c>
      <c r="C1202">
        <v>4.2064366290760704</v>
      </c>
    </row>
    <row r="1203" spans="1:3" x14ac:dyDescent="0.45">
      <c r="A1203" s="28">
        <v>7290103704155</v>
      </c>
      <c r="B1203" s="29">
        <v>45833</v>
      </c>
      <c r="C1203">
        <v>4.1778722472194803</v>
      </c>
    </row>
    <row r="1204" spans="1:3" x14ac:dyDescent="0.45">
      <c r="A1204" s="28">
        <v>7290103704179</v>
      </c>
      <c r="B1204" s="29">
        <v>45833</v>
      </c>
      <c r="C1204">
        <v>4.2079251410531704</v>
      </c>
    </row>
    <row r="1205" spans="1:3" x14ac:dyDescent="0.45">
      <c r="A1205" s="28">
        <v>7290103704919</v>
      </c>
      <c r="B1205" s="29">
        <v>45833</v>
      </c>
      <c r="C1205">
        <v>4.1774663754573904</v>
      </c>
    </row>
    <row r="1206" spans="1:3" x14ac:dyDescent="0.45">
      <c r="A1206" s="28">
        <v>7290107280099</v>
      </c>
      <c r="B1206" s="29">
        <v>45833</v>
      </c>
      <c r="C1206">
        <v>1.2250064376612599</v>
      </c>
    </row>
    <row r="1207" spans="1:3" x14ac:dyDescent="0.45">
      <c r="A1207" s="28">
        <v>7290108351699</v>
      </c>
      <c r="B1207" s="29">
        <v>45833</v>
      </c>
      <c r="C1207">
        <v>1.97116295675054</v>
      </c>
    </row>
    <row r="1208" spans="1:3" x14ac:dyDescent="0.45">
      <c r="A1208" s="28">
        <v>7290108352702</v>
      </c>
      <c r="B1208" s="29">
        <v>45833</v>
      </c>
      <c r="C1208">
        <v>1.2089688741281599</v>
      </c>
    </row>
    <row r="1209" spans="1:3" x14ac:dyDescent="0.45">
      <c r="A1209" s="28">
        <v>7290108356298</v>
      </c>
      <c r="B1209" s="29">
        <v>45833</v>
      </c>
      <c r="C1209">
        <v>1.9436323437873599</v>
      </c>
    </row>
    <row r="1210" spans="1:3" x14ac:dyDescent="0.45">
      <c r="A1210" s="28">
        <v>7290108356700</v>
      </c>
      <c r="B1210" s="29">
        <v>45833</v>
      </c>
      <c r="C1210">
        <v>1.21813370837487</v>
      </c>
    </row>
    <row r="1211" spans="1:3" x14ac:dyDescent="0.45">
      <c r="A1211" s="28">
        <v>7290108356717</v>
      </c>
      <c r="B1211" s="29">
        <v>45833</v>
      </c>
      <c r="C1211">
        <v>1.92910692758131</v>
      </c>
    </row>
    <row r="1212" spans="1:3" x14ac:dyDescent="0.45">
      <c r="A1212" s="28">
        <v>7290108356724</v>
      </c>
      <c r="B1212" s="29">
        <v>45833</v>
      </c>
      <c r="C1212">
        <v>1.9325439463259</v>
      </c>
    </row>
    <row r="1213" spans="1:3" x14ac:dyDescent="0.45">
      <c r="A1213" s="28">
        <v>7290108357240</v>
      </c>
      <c r="B1213" s="29">
        <v>45833</v>
      </c>
      <c r="C1213">
        <v>1.7640132493893299</v>
      </c>
    </row>
    <row r="1214" spans="1:3" x14ac:dyDescent="0.45">
      <c r="A1214" s="28">
        <v>7290108357288</v>
      </c>
      <c r="B1214" s="29">
        <v>45833</v>
      </c>
      <c r="C1214">
        <v>4.19183204759499</v>
      </c>
    </row>
    <row r="1215" spans="1:3" x14ac:dyDescent="0.45">
      <c r="A1215" s="28">
        <v>7290108357844</v>
      </c>
      <c r="B1215" s="29">
        <v>45833</v>
      </c>
      <c r="C1215">
        <v>1.95795043874387</v>
      </c>
    </row>
    <row r="1216" spans="1:3" x14ac:dyDescent="0.45">
      <c r="A1216" s="28">
        <v>7290108359077</v>
      </c>
      <c r="B1216" s="29">
        <v>45833</v>
      </c>
      <c r="C1216">
        <v>1.2098983478365499</v>
      </c>
    </row>
    <row r="1217" spans="1:3" x14ac:dyDescent="0.45">
      <c r="A1217" s="28">
        <v>7290108359176</v>
      </c>
      <c r="B1217" s="29">
        <v>45833</v>
      </c>
      <c r="C1217">
        <v>1.2151544318971099</v>
      </c>
    </row>
    <row r="1218" spans="1:3" x14ac:dyDescent="0.45">
      <c r="A1218" s="28">
        <v>7290108359190</v>
      </c>
      <c r="B1218" s="29">
        <v>45833</v>
      </c>
      <c r="C1218">
        <v>1.2130514785267501</v>
      </c>
    </row>
    <row r="1219" spans="1:3" x14ac:dyDescent="0.45">
      <c r="A1219" s="28">
        <v>8001090184375</v>
      </c>
      <c r="B1219" s="29">
        <v>45833</v>
      </c>
      <c r="C1219">
        <v>1.42033292869081</v>
      </c>
    </row>
    <row r="1220" spans="1:3" x14ac:dyDescent="0.45">
      <c r="A1220" s="28">
        <v>8001090184412</v>
      </c>
      <c r="B1220" s="29">
        <v>45833</v>
      </c>
      <c r="C1220">
        <v>4.1544202158170798</v>
      </c>
    </row>
    <row r="1221" spans="1:3" x14ac:dyDescent="0.45">
      <c r="A1221" s="28">
        <v>8001841625362</v>
      </c>
      <c r="B1221" s="29">
        <v>45833</v>
      </c>
      <c r="C1221">
        <v>1.7719170835956799</v>
      </c>
    </row>
    <row r="1222" spans="1:3" x14ac:dyDescent="0.45">
      <c r="A1222" s="28">
        <v>8001841893990</v>
      </c>
      <c r="B1222" s="29">
        <v>45833</v>
      </c>
      <c r="C1222">
        <v>1.2150334158454299</v>
      </c>
    </row>
    <row r="1223" spans="1:3" x14ac:dyDescent="0.45">
      <c r="A1223" s="28">
        <v>8006540429327</v>
      </c>
      <c r="B1223" s="29">
        <v>45833</v>
      </c>
      <c r="C1223">
        <v>4.1541784708175298</v>
      </c>
    </row>
    <row r="1224" spans="1:3" x14ac:dyDescent="0.45">
      <c r="A1224" s="28">
        <v>8700216163811</v>
      </c>
      <c r="B1224" s="29">
        <v>45833</v>
      </c>
      <c r="C1224">
        <v>4.1449574418996704</v>
      </c>
    </row>
    <row r="1225" spans="1:3" x14ac:dyDescent="0.45">
      <c r="A1225" s="28">
        <v>8700216236034</v>
      </c>
      <c r="B1225" s="29">
        <v>45833</v>
      </c>
      <c r="C1225">
        <v>1.4404991827079701</v>
      </c>
    </row>
    <row r="1226" spans="1:3" x14ac:dyDescent="0.45">
      <c r="A1226" s="28">
        <v>8700216236751</v>
      </c>
      <c r="B1226" s="29">
        <v>45833</v>
      </c>
      <c r="C1226">
        <v>1.7579145716903299</v>
      </c>
    </row>
    <row r="1227" spans="1:3" x14ac:dyDescent="0.45">
      <c r="A1227" s="28">
        <v>4084500088917</v>
      </c>
      <c r="B1227" s="29">
        <v>45834</v>
      </c>
      <c r="C1227">
        <v>4.2005430397281902</v>
      </c>
    </row>
    <row r="1228" spans="1:3" x14ac:dyDescent="0.45">
      <c r="A1228" s="28">
        <v>4084500853836</v>
      </c>
      <c r="B1228" s="29">
        <v>45834</v>
      </c>
      <c r="C1228">
        <v>4.19110906717916</v>
      </c>
    </row>
    <row r="1229" spans="1:3" x14ac:dyDescent="0.45">
      <c r="A1229" s="28">
        <v>7290000286921</v>
      </c>
      <c r="B1229" s="29">
        <v>45834</v>
      </c>
      <c r="C1229">
        <v>1.32245141760748</v>
      </c>
    </row>
    <row r="1230" spans="1:3" x14ac:dyDescent="0.45">
      <c r="A1230" s="28">
        <v>7290000288024</v>
      </c>
      <c r="B1230" s="29">
        <v>45834</v>
      </c>
      <c r="C1230">
        <v>4.2299322177998304</v>
      </c>
    </row>
    <row r="1231" spans="1:3" x14ac:dyDescent="0.45">
      <c r="A1231" s="28">
        <v>7290000288307</v>
      </c>
      <c r="B1231" s="29">
        <v>45834</v>
      </c>
      <c r="C1231">
        <v>1.21581453211719</v>
      </c>
    </row>
    <row r="1232" spans="1:3" x14ac:dyDescent="0.45">
      <c r="A1232" s="28">
        <v>7290000288659</v>
      </c>
      <c r="B1232" s="29">
        <v>45834</v>
      </c>
      <c r="C1232">
        <v>1.21378588921742</v>
      </c>
    </row>
    <row r="1233" spans="1:3" x14ac:dyDescent="0.45">
      <c r="A1233" s="28">
        <v>7290000292915</v>
      </c>
      <c r="B1233" s="29">
        <v>45834</v>
      </c>
      <c r="C1233">
        <v>1.9504898689889101</v>
      </c>
    </row>
    <row r="1234" spans="1:3" x14ac:dyDescent="0.45">
      <c r="A1234" s="28">
        <v>7290000294780</v>
      </c>
      <c r="B1234" s="29">
        <v>45834</v>
      </c>
      <c r="C1234">
        <v>4.1795488724362402</v>
      </c>
    </row>
    <row r="1235" spans="1:3" x14ac:dyDescent="0.45">
      <c r="A1235" s="28">
        <v>7290000295367</v>
      </c>
      <c r="B1235" s="29">
        <v>45834</v>
      </c>
      <c r="C1235">
        <v>1.7668677508136399</v>
      </c>
    </row>
    <row r="1236" spans="1:3" x14ac:dyDescent="0.45">
      <c r="A1236" s="28">
        <v>7290000295541</v>
      </c>
      <c r="B1236" s="29">
        <v>45834</v>
      </c>
      <c r="C1236">
        <v>1.21851255968635</v>
      </c>
    </row>
    <row r="1237" spans="1:3" x14ac:dyDescent="0.45">
      <c r="A1237" s="28">
        <v>7290001246610</v>
      </c>
      <c r="B1237" s="29">
        <v>45834</v>
      </c>
      <c r="C1237">
        <v>1.7734305948460101</v>
      </c>
    </row>
    <row r="1238" spans="1:3" x14ac:dyDescent="0.45">
      <c r="A1238" s="28">
        <v>7290005424700</v>
      </c>
      <c r="B1238" s="29">
        <v>45834</v>
      </c>
      <c r="C1238">
        <v>1.9776703530331701</v>
      </c>
    </row>
    <row r="1239" spans="1:3" x14ac:dyDescent="0.45">
      <c r="A1239" s="28">
        <v>7290005425110</v>
      </c>
      <c r="B1239" s="29">
        <v>45834</v>
      </c>
      <c r="C1239">
        <v>1.9040390407955901</v>
      </c>
    </row>
    <row r="1240" spans="1:3" x14ac:dyDescent="0.45">
      <c r="A1240" s="28">
        <v>7290005425196</v>
      </c>
      <c r="B1240" s="29">
        <v>45834</v>
      </c>
      <c r="C1240">
        <v>1.7610651523740299</v>
      </c>
    </row>
    <row r="1241" spans="1:3" x14ac:dyDescent="0.45">
      <c r="A1241" s="28">
        <v>7290012116025</v>
      </c>
      <c r="B1241" s="29">
        <v>45834</v>
      </c>
      <c r="C1241">
        <v>1.9664437397813599</v>
      </c>
    </row>
    <row r="1242" spans="1:3" x14ac:dyDescent="0.45">
      <c r="A1242" s="28">
        <v>7290012117534</v>
      </c>
      <c r="B1242" s="29">
        <v>45834</v>
      </c>
      <c r="C1242">
        <v>1.75882131398357</v>
      </c>
    </row>
    <row r="1243" spans="1:3" x14ac:dyDescent="0.45">
      <c r="A1243" s="28">
        <v>7290013268204</v>
      </c>
      <c r="B1243" s="29">
        <v>45834</v>
      </c>
      <c r="C1243">
        <v>1.2293883823729099</v>
      </c>
    </row>
    <row r="1244" spans="1:3" x14ac:dyDescent="0.45">
      <c r="A1244" s="28">
        <v>7290013268891</v>
      </c>
      <c r="B1244" s="29">
        <v>45834</v>
      </c>
      <c r="C1244">
        <v>1.7760616567918399</v>
      </c>
    </row>
    <row r="1245" spans="1:3" x14ac:dyDescent="0.45">
      <c r="A1245" s="28">
        <v>7290013269003</v>
      </c>
      <c r="B1245" s="29">
        <v>45834</v>
      </c>
      <c r="C1245">
        <v>1.7440432466008899</v>
      </c>
    </row>
    <row r="1246" spans="1:3" x14ac:dyDescent="0.45">
      <c r="A1246" s="28">
        <v>7290014397453</v>
      </c>
      <c r="B1246" s="29">
        <v>45834</v>
      </c>
      <c r="C1246">
        <v>1.77135818512659</v>
      </c>
    </row>
    <row r="1247" spans="1:3" x14ac:dyDescent="0.45">
      <c r="A1247" s="28">
        <v>7290019274483</v>
      </c>
      <c r="B1247" s="29">
        <v>45834</v>
      </c>
      <c r="C1247">
        <v>1.7626200868965001</v>
      </c>
    </row>
    <row r="1248" spans="1:3" x14ac:dyDescent="0.45">
      <c r="A1248" s="28">
        <v>7290019274490</v>
      </c>
      <c r="B1248" s="29">
        <v>45834</v>
      </c>
      <c r="C1248">
        <v>1.7518229228368201</v>
      </c>
    </row>
    <row r="1249" spans="1:3" x14ac:dyDescent="0.45">
      <c r="A1249" s="28">
        <v>7290019611325</v>
      </c>
      <c r="B1249" s="29">
        <v>45834</v>
      </c>
      <c r="C1249">
        <v>1.74307596287453</v>
      </c>
    </row>
    <row r="1250" spans="1:3" x14ac:dyDescent="0.45">
      <c r="A1250" s="28">
        <v>7290103702489</v>
      </c>
      <c r="B1250" s="29">
        <v>45834</v>
      </c>
      <c r="C1250">
        <v>4.1885631725278403</v>
      </c>
    </row>
    <row r="1251" spans="1:3" x14ac:dyDescent="0.45">
      <c r="A1251" s="28">
        <v>7290103703370</v>
      </c>
      <c r="B1251" s="29">
        <v>45834</v>
      </c>
      <c r="C1251">
        <v>4.2064366290760704</v>
      </c>
    </row>
    <row r="1252" spans="1:3" x14ac:dyDescent="0.45">
      <c r="A1252" s="28">
        <v>7290103704155</v>
      </c>
      <c r="B1252" s="29">
        <v>45834</v>
      </c>
      <c r="C1252">
        <v>4.1778722472194803</v>
      </c>
    </row>
    <row r="1253" spans="1:3" x14ac:dyDescent="0.45">
      <c r="A1253" s="28">
        <v>7290103704179</v>
      </c>
      <c r="B1253" s="29">
        <v>45834</v>
      </c>
      <c r="C1253">
        <v>4.2079251410531704</v>
      </c>
    </row>
    <row r="1254" spans="1:3" x14ac:dyDescent="0.45">
      <c r="A1254" s="28">
        <v>7290103704919</v>
      </c>
      <c r="B1254" s="29">
        <v>45834</v>
      </c>
      <c r="C1254">
        <v>4.1774663754573904</v>
      </c>
    </row>
    <row r="1255" spans="1:3" x14ac:dyDescent="0.45">
      <c r="A1255" s="28">
        <v>7290107280099</v>
      </c>
      <c r="B1255" s="29">
        <v>45834</v>
      </c>
      <c r="C1255">
        <v>1.2250064376612599</v>
      </c>
    </row>
    <row r="1256" spans="1:3" x14ac:dyDescent="0.45">
      <c r="A1256" s="28">
        <v>7290108351699</v>
      </c>
      <c r="B1256" s="29">
        <v>45834</v>
      </c>
      <c r="C1256">
        <v>1.97116295675054</v>
      </c>
    </row>
    <row r="1257" spans="1:3" x14ac:dyDescent="0.45">
      <c r="A1257" s="28">
        <v>7290108352702</v>
      </c>
      <c r="B1257" s="29">
        <v>45834</v>
      </c>
      <c r="C1257">
        <v>1.2089688741281599</v>
      </c>
    </row>
    <row r="1258" spans="1:3" x14ac:dyDescent="0.45">
      <c r="A1258" s="28">
        <v>7290108356298</v>
      </c>
      <c r="B1258" s="29">
        <v>45834</v>
      </c>
      <c r="C1258">
        <v>1.9436323437873599</v>
      </c>
    </row>
    <row r="1259" spans="1:3" x14ac:dyDescent="0.45">
      <c r="A1259" s="28">
        <v>7290108356700</v>
      </c>
      <c r="B1259" s="29">
        <v>45834</v>
      </c>
      <c r="C1259">
        <v>1.21813370837487</v>
      </c>
    </row>
    <row r="1260" spans="1:3" x14ac:dyDescent="0.45">
      <c r="A1260" s="28">
        <v>7290108356717</v>
      </c>
      <c r="B1260" s="29">
        <v>45834</v>
      </c>
      <c r="C1260">
        <v>1.92910692758131</v>
      </c>
    </row>
    <row r="1261" spans="1:3" x14ac:dyDescent="0.45">
      <c r="A1261" s="28">
        <v>7290108356724</v>
      </c>
      <c r="B1261" s="29">
        <v>45834</v>
      </c>
      <c r="C1261">
        <v>1.9325439463259</v>
      </c>
    </row>
    <row r="1262" spans="1:3" x14ac:dyDescent="0.45">
      <c r="A1262" s="28">
        <v>7290108357240</v>
      </c>
      <c r="B1262" s="29">
        <v>45834</v>
      </c>
      <c r="C1262">
        <v>1.7640132493893299</v>
      </c>
    </row>
    <row r="1263" spans="1:3" x14ac:dyDescent="0.45">
      <c r="A1263" s="28">
        <v>7290108357288</v>
      </c>
      <c r="B1263" s="29">
        <v>45834</v>
      </c>
      <c r="C1263">
        <v>4.19183204759499</v>
      </c>
    </row>
    <row r="1264" spans="1:3" x14ac:dyDescent="0.45">
      <c r="A1264" s="28">
        <v>7290108357844</v>
      </c>
      <c r="B1264" s="29">
        <v>45834</v>
      </c>
      <c r="C1264">
        <v>1.95795043874387</v>
      </c>
    </row>
    <row r="1265" spans="1:3" x14ac:dyDescent="0.45">
      <c r="A1265" s="28">
        <v>7290108359077</v>
      </c>
      <c r="B1265" s="29">
        <v>45834</v>
      </c>
      <c r="C1265">
        <v>1.2098983478365499</v>
      </c>
    </row>
    <row r="1266" spans="1:3" x14ac:dyDescent="0.45">
      <c r="A1266" s="28">
        <v>7290108359176</v>
      </c>
      <c r="B1266" s="29">
        <v>45834</v>
      </c>
      <c r="C1266">
        <v>1.2151544318971099</v>
      </c>
    </row>
    <row r="1267" spans="1:3" x14ac:dyDescent="0.45">
      <c r="A1267" s="28">
        <v>7290108359190</v>
      </c>
      <c r="B1267" s="29">
        <v>45834</v>
      </c>
      <c r="C1267">
        <v>1.2130514785267501</v>
      </c>
    </row>
    <row r="1268" spans="1:3" x14ac:dyDescent="0.45">
      <c r="A1268" s="28">
        <v>8001090184375</v>
      </c>
      <c r="B1268" s="29">
        <v>45834</v>
      </c>
      <c r="C1268">
        <v>1.42033292869081</v>
      </c>
    </row>
    <row r="1269" spans="1:3" x14ac:dyDescent="0.45">
      <c r="A1269" s="28">
        <v>8001090184412</v>
      </c>
      <c r="B1269" s="29">
        <v>45834</v>
      </c>
      <c r="C1269">
        <v>4.1544202158170798</v>
      </c>
    </row>
    <row r="1270" spans="1:3" x14ac:dyDescent="0.45">
      <c r="A1270" s="28">
        <v>8001841625362</v>
      </c>
      <c r="B1270" s="29">
        <v>45834</v>
      </c>
      <c r="C1270">
        <v>1.7719170835956799</v>
      </c>
    </row>
    <row r="1271" spans="1:3" x14ac:dyDescent="0.45">
      <c r="A1271" s="28">
        <v>8001841893990</v>
      </c>
      <c r="B1271" s="29">
        <v>45834</v>
      </c>
      <c r="C1271">
        <v>1.2150334158454299</v>
      </c>
    </row>
    <row r="1272" spans="1:3" x14ac:dyDescent="0.45">
      <c r="A1272" s="28">
        <v>8006540429327</v>
      </c>
      <c r="B1272" s="29">
        <v>45834</v>
      </c>
      <c r="C1272">
        <v>4.1541784708175298</v>
      </c>
    </row>
    <row r="1273" spans="1:3" x14ac:dyDescent="0.45">
      <c r="A1273" s="28">
        <v>8700216163811</v>
      </c>
      <c r="B1273" s="29">
        <v>45834</v>
      </c>
      <c r="C1273">
        <v>4.1449574418996704</v>
      </c>
    </row>
    <row r="1274" spans="1:3" x14ac:dyDescent="0.45">
      <c r="A1274" s="28">
        <v>8700216236034</v>
      </c>
      <c r="B1274" s="29">
        <v>45834</v>
      </c>
      <c r="C1274">
        <v>1.4404991827079701</v>
      </c>
    </row>
    <row r="1275" spans="1:3" x14ac:dyDescent="0.45">
      <c r="A1275" s="28">
        <v>8700216236751</v>
      </c>
      <c r="B1275" s="29">
        <v>45834</v>
      </c>
      <c r="C1275">
        <v>1.7579145716903299</v>
      </c>
    </row>
    <row r="1276" spans="1:3" x14ac:dyDescent="0.45">
      <c r="A1276" s="28">
        <v>4084500088917</v>
      </c>
      <c r="B1276" s="29">
        <v>45835</v>
      </c>
      <c r="C1276">
        <v>8.2979049568489298</v>
      </c>
    </row>
    <row r="1277" spans="1:3" x14ac:dyDescent="0.45">
      <c r="A1277" s="28">
        <v>4084500853836</v>
      </c>
      <c r="B1277" s="29">
        <v>45835</v>
      </c>
      <c r="C1277">
        <v>8.0833956024541394</v>
      </c>
    </row>
    <row r="1278" spans="1:3" x14ac:dyDescent="0.45">
      <c r="A1278" s="28">
        <v>7290000286921</v>
      </c>
      <c r="B1278" s="29">
        <v>45835</v>
      </c>
      <c r="C1278">
        <v>3.51796284319314</v>
      </c>
    </row>
    <row r="1279" spans="1:3" x14ac:dyDescent="0.45">
      <c r="A1279" s="28">
        <v>7290000288024</v>
      </c>
      <c r="B1279" s="29">
        <v>45835</v>
      </c>
      <c r="C1279">
        <v>8.2867921030624192</v>
      </c>
    </row>
    <row r="1280" spans="1:3" x14ac:dyDescent="0.45">
      <c r="A1280" s="28">
        <v>7290000288307</v>
      </c>
      <c r="B1280" s="29">
        <v>45835</v>
      </c>
      <c r="C1280">
        <v>3.3923182140065</v>
      </c>
    </row>
    <row r="1281" spans="1:3" x14ac:dyDescent="0.45">
      <c r="A1281" s="28">
        <v>7290000288659</v>
      </c>
      <c r="B1281" s="29">
        <v>45835</v>
      </c>
      <c r="C1281">
        <v>3.3932693933139699</v>
      </c>
    </row>
    <row r="1282" spans="1:3" x14ac:dyDescent="0.45">
      <c r="A1282" s="28">
        <v>7290000292915</v>
      </c>
      <c r="B1282" s="29">
        <v>45835</v>
      </c>
      <c r="C1282">
        <v>4.1311326037876501</v>
      </c>
    </row>
    <row r="1283" spans="1:3" x14ac:dyDescent="0.45">
      <c r="A1283" s="28">
        <v>7290000294780</v>
      </c>
      <c r="B1283" s="29">
        <v>45835</v>
      </c>
      <c r="C1283">
        <v>8.2513120346081692</v>
      </c>
    </row>
    <row r="1284" spans="1:3" x14ac:dyDescent="0.45">
      <c r="A1284" s="28">
        <v>7290000295367</v>
      </c>
      <c r="B1284" s="29">
        <v>45835</v>
      </c>
      <c r="C1284">
        <v>3.5574926139802301</v>
      </c>
    </row>
    <row r="1285" spans="1:3" x14ac:dyDescent="0.45">
      <c r="A1285" s="28">
        <v>7290000295541</v>
      </c>
      <c r="B1285" s="29">
        <v>45835</v>
      </c>
      <c r="C1285">
        <v>3.3883908770184101</v>
      </c>
    </row>
    <row r="1286" spans="1:3" x14ac:dyDescent="0.45">
      <c r="A1286" s="28">
        <v>7290001246610</v>
      </c>
      <c r="B1286" s="29">
        <v>45835</v>
      </c>
      <c r="C1286">
        <v>3.6392969113331999</v>
      </c>
    </row>
    <row r="1287" spans="1:3" x14ac:dyDescent="0.45">
      <c r="A1287" s="28">
        <v>7290005424700</v>
      </c>
      <c r="B1287" s="29">
        <v>45835</v>
      </c>
      <c r="C1287">
        <v>4.2234796181562997</v>
      </c>
    </row>
    <row r="1288" spans="1:3" x14ac:dyDescent="0.45">
      <c r="A1288" s="28">
        <v>7290005425110</v>
      </c>
      <c r="B1288" s="29">
        <v>45835</v>
      </c>
      <c r="C1288">
        <v>4.2632879960233296</v>
      </c>
    </row>
    <row r="1289" spans="1:3" x14ac:dyDescent="0.45">
      <c r="A1289" s="28">
        <v>7290005425196</v>
      </c>
      <c r="B1289" s="29">
        <v>45835</v>
      </c>
      <c r="C1289">
        <v>3.6002980636942699</v>
      </c>
    </row>
    <row r="1290" spans="1:3" x14ac:dyDescent="0.45">
      <c r="A1290" s="28">
        <v>7290012116025</v>
      </c>
      <c r="B1290" s="29">
        <v>45835</v>
      </c>
      <c r="C1290">
        <v>4.2836034183324099</v>
      </c>
    </row>
    <row r="1291" spans="1:3" x14ac:dyDescent="0.45">
      <c r="A1291" s="28">
        <v>7290012117534</v>
      </c>
      <c r="B1291" s="29">
        <v>45835</v>
      </c>
      <c r="C1291">
        <v>3.59435618256536</v>
      </c>
    </row>
    <row r="1292" spans="1:3" x14ac:dyDescent="0.45">
      <c r="A1292" s="28">
        <v>7290013268204</v>
      </c>
      <c r="B1292" s="29">
        <v>45835</v>
      </c>
      <c r="C1292">
        <v>3.3681682017627601</v>
      </c>
    </row>
    <row r="1293" spans="1:3" x14ac:dyDescent="0.45">
      <c r="A1293" s="28">
        <v>7290013268891</v>
      </c>
      <c r="B1293" s="29">
        <v>45835</v>
      </c>
      <c r="C1293">
        <v>3.5799595147616499</v>
      </c>
    </row>
    <row r="1294" spans="1:3" x14ac:dyDescent="0.45">
      <c r="A1294" s="28">
        <v>7290013269003</v>
      </c>
      <c r="B1294" s="29">
        <v>45835</v>
      </c>
      <c r="C1294">
        <v>3.5799204300558598</v>
      </c>
    </row>
    <row r="1295" spans="1:3" x14ac:dyDescent="0.45">
      <c r="A1295" s="28">
        <v>7290014397453</v>
      </c>
      <c r="B1295" s="29">
        <v>45835</v>
      </c>
      <c r="C1295">
        <v>3.6116262628589801</v>
      </c>
    </row>
    <row r="1296" spans="1:3" x14ac:dyDescent="0.45">
      <c r="A1296" s="28">
        <v>7290019274483</v>
      </c>
      <c r="B1296" s="29">
        <v>45835</v>
      </c>
      <c r="C1296">
        <v>3.6085748993404199</v>
      </c>
    </row>
    <row r="1297" spans="1:3" x14ac:dyDescent="0.45">
      <c r="A1297" s="28">
        <v>7290019274490</v>
      </c>
      <c r="B1297" s="29">
        <v>45835</v>
      </c>
      <c r="C1297">
        <v>3.6625690464774001</v>
      </c>
    </row>
    <row r="1298" spans="1:3" x14ac:dyDescent="0.45">
      <c r="A1298" s="28">
        <v>7290019611325</v>
      </c>
      <c r="B1298" s="29">
        <v>45835</v>
      </c>
      <c r="C1298">
        <v>3.5575953108992802</v>
      </c>
    </row>
    <row r="1299" spans="1:3" x14ac:dyDescent="0.45">
      <c r="A1299" s="28">
        <v>7290103702489</v>
      </c>
      <c r="B1299" s="29">
        <v>45835</v>
      </c>
      <c r="C1299">
        <v>8.2920317499110894</v>
      </c>
    </row>
    <row r="1300" spans="1:3" x14ac:dyDescent="0.45">
      <c r="A1300" s="28">
        <v>7290103703370</v>
      </c>
      <c r="B1300" s="29">
        <v>45835</v>
      </c>
      <c r="C1300">
        <v>8.1137730696634005</v>
      </c>
    </row>
    <row r="1301" spans="1:3" x14ac:dyDescent="0.45">
      <c r="A1301" s="28">
        <v>7290103704155</v>
      </c>
      <c r="B1301" s="29">
        <v>45835</v>
      </c>
      <c r="C1301">
        <v>8.32834063804723</v>
      </c>
    </row>
    <row r="1302" spans="1:3" x14ac:dyDescent="0.45">
      <c r="A1302" s="28">
        <v>7290103704179</v>
      </c>
      <c r="B1302" s="29">
        <v>45835</v>
      </c>
      <c r="C1302">
        <v>8.3006159083214897</v>
      </c>
    </row>
    <row r="1303" spans="1:3" x14ac:dyDescent="0.45">
      <c r="A1303" s="28">
        <v>7290103704919</v>
      </c>
      <c r="B1303" s="29">
        <v>45835</v>
      </c>
      <c r="C1303">
        <v>8.1244069410553692</v>
      </c>
    </row>
    <row r="1304" spans="1:3" x14ac:dyDescent="0.45">
      <c r="A1304" s="28">
        <v>7290107280099</v>
      </c>
      <c r="B1304" s="29">
        <v>45835</v>
      </c>
      <c r="C1304">
        <v>3.3639732367130502</v>
      </c>
    </row>
    <row r="1305" spans="1:3" x14ac:dyDescent="0.45">
      <c r="A1305" s="28">
        <v>7290108351699</v>
      </c>
      <c r="B1305" s="29">
        <v>45835</v>
      </c>
      <c r="C1305">
        <v>4.0946443871602698</v>
      </c>
    </row>
    <row r="1306" spans="1:3" x14ac:dyDescent="0.45">
      <c r="A1306" s="28">
        <v>7290108352702</v>
      </c>
      <c r="B1306" s="29">
        <v>45835</v>
      </c>
      <c r="C1306">
        <v>3.3749989510768499</v>
      </c>
    </row>
    <row r="1307" spans="1:3" x14ac:dyDescent="0.45">
      <c r="A1307" s="28">
        <v>7290108356298</v>
      </c>
      <c r="B1307" s="29">
        <v>45835</v>
      </c>
      <c r="C1307">
        <v>4.2385329162947398</v>
      </c>
    </row>
    <row r="1308" spans="1:3" x14ac:dyDescent="0.45">
      <c r="A1308" s="28">
        <v>7290108356700</v>
      </c>
      <c r="B1308" s="29">
        <v>45835</v>
      </c>
      <c r="C1308">
        <v>3.3962844637354799</v>
      </c>
    </row>
    <row r="1309" spans="1:3" x14ac:dyDescent="0.45">
      <c r="A1309" s="28">
        <v>7290108356717</v>
      </c>
      <c r="B1309" s="29">
        <v>45835</v>
      </c>
      <c r="C1309">
        <v>3.7718560308865601</v>
      </c>
    </row>
    <row r="1310" spans="1:3" x14ac:dyDescent="0.45">
      <c r="A1310" s="28">
        <v>7290108356724</v>
      </c>
      <c r="B1310" s="29">
        <v>45835</v>
      </c>
      <c r="C1310">
        <v>4.2393640728602202</v>
      </c>
    </row>
    <row r="1311" spans="1:3" x14ac:dyDescent="0.45">
      <c r="A1311" s="28">
        <v>7290108357240</v>
      </c>
      <c r="B1311" s="29">
        <v>45835</v>
      </c>
      <c r="C1311">
        <v>3.5300523396965602</v>
      </c>
    </row>
    <row r="1312" spans="1:3" x14ac:dyDescent="0.45">
      <c r="A1312" s="28">
        <v>7290108357288</v>
      </c>
      <c r="B1312" s="29">
        <v>45835</v>
      </c>
      <c r="C1312">
        <v>8.2017601333818995</v>
      </c>
    </row>
    <row r="1313" spans="1:3" x14ac:dyDescent="0.45">
      <c r="A1313" s="28">
        <v>7290108357844</v>
      </c>
      <c r="B1313" s="29">
        <v>45835</v>
      </c>
      <c r="C1313">
        <v>4.1611807203707096</v>
      </c>
    </row>
    <row r="1314" spans="1:3" x14ac:dyDescent="0.45">
      <c r="A1314" s="28">
        <v>7290108359077</v>
      </c>
      <c r="B1314" s="29">
        <v>45835</v>
      </c>
      <c r="C1314">
        <v>3.3677997197405598</v>
      </c>
    </row>
    <row r="1315" spans="1:3" x14ac:dyDescent="0.45">
      <c r="A1315" s="28">
        <v>7290108359176</v>
      </c>
      <c r="B1315" s="29">
        <v>45835</v>
      </c>
      <c r="C1315">
        <v>3.38167605823981</v>
      </c>
    </row>
    <row r="1316" spans="1:3" x14ac:dyDescent="0.45">
      <c r="A1316" s="28">
        <v>7290108359190</v>
      </c>
      <c r="B1316" s="29">
        <v>45835</v>
      </c>
      <c r="C1316">
        <v>3.38504409980081</v>
      </c>
    </row>
    <row r="1317" spans="1:3" x14ac:dyDescent="0.45">
      <c r="A1317" s="28">
        <v>8001090184375</v>
      </c>
      <c r="B1317" s="29">
        <v>45835</v>
      </c>
      <c r="C1317">
        <v>3.4444303084347401</v>
      </c>
    </row>
    <row r="1318" spans="1:3" x14ac:dyDescent="0.45">
      <c r="A1318" s="28">
        <v>8001090184412</v>
      </c>
      <c r="B1318" s="29">
        <v>45835</v>
      </c>
      <c r="C1318">
        <v>8.1941449313571404</v>
      </c>
    </row>
    <row r="1319" spans="1:3" x14ac:dyDescent="0.45">
      <c r="A1319" s="28">
        <v>8001841625362</v>
      </c>
      <c r="B1319" s="29">
        <v>45835</v>
      </c>
      <c r="C1319">
        <v>3.6477774735697199</v>
      </c>
    </row>
    <row r="1320" spans="1:3" x14ac:dyDescent="0.45">
      <c r="A1320" s="28">
        <v>8001841893990</v>
      </c>
      <c r="B1320" s="29">
        <v>45835</v>
      </c>
      <c r="C1320">
        <v>3.3596518899719898</v>
      </c>
    </row>
    <row r="1321" spans="1:3" x14ac:dyDescent="0.45">
      <c r="A1321" s="28">
        <v>8006540429327</v>
      </c>
      <c r="B1321" s="29">
        <v>45835</v>
      </c>
      <c r="C1321">
        <v>8.2551510781061399</v>
      </c>
    </row>
    <row r="1322" spans="1:3" x14ac:dyDescent="0.45">
      <c r="A1322" s="28">
        <v>8700216163811</v>
      </c>
      <c r="B1322" s="29">
        <v>45835</v>
      </c>
      <c r="C1322">
        <v>8.3322349266486295</v>
      </c>
    </row>
    <row r="1323" spans="1:3" x14ac:dyDescent="0.45">
      <c r="A1323" s="28">
        <v>8700216236034</v>
      </c>
      <c r="B1323" s="29">
        <v>45835</v>
      </c>
      <c r="C1323">
        <v>3.5013011553483402</v>
      </c>
    </row>
    <row r="1324" spans="1:3" x14ac:dyDescent="0.45">
      <c r="A1324" s="28">
        <v>8700216236751</v>
      </c>
      <c r="B1324" s="29">
        <v>45835</v>
      </c>
      <c r="C1324">
        <v>3.6469401290393302</v>
      </c>
    </row>
    <row r="1325" spans="1:3" x14ac:dyDescent="0.45">
      <c r="A1325" s="28">
        <v>4084500088917</v>
      </c>
      <c r="B1325" s="29">
        <v>45836</v>
      </c>
      <c r="C1325">
        <v>8.2979049568489298</v>
      </c>
    </row>
    <row r="1326" spans="1:3" x14ac:dyDescent="0.45">
      <c r="A1326" s="28">
        <v>4084500853836</v>
      </c>
      <c r="B1326" s="29">
        <v>45836</v>
      </c>
      <c r="C1326">
        <v>8.0833956024541394</v>
      </c>
    </row>
    <row r="1327" spans="1:3" x14ac:dyDescent="0.45">
      <c r="A1327" s="28">
        <v>7290000286921</v>
      </c>
      <c r="B1327" s="29">
        <v>45836</v>
      </c>
      <c r="C1327">
        <v>3.51796284319314</v>
      </c>
    </row>
    <row r="1328" spans="1:3" x14ac:dyDescent="0.45">
      <c r="A1328" s="28">
        <v>7290000288024</v>
      </c>
      <c r="B1328" s="29">
        <v>45836</v>
      </c>
      <c r="C1328">
        <v>8.2867921030624192</v>
      </c>
    </row>
    <row r="1329" spans="1:3" x14ac:dyDescent="0.45">
      <c r="A1329" s="28">
        <v>7290000288307</v>
      </c>
      <c r="B1329" s="29">
        <v>45836</v>
      </c>
      <c r="C1329">
        <v>3.3923182140065</v>
      </c>
    </row>
    <row r="1330" spans="1:3" x14ac:dyDescent="0.45">
      <c r="A1330" s="28">
        <v>7290000288659</v>
      </c>
      <c r="B1330" s="29">
        <v>45836</v>
      </c>
      <c r="C1330">
        <v>3.3932693933139699</v>
      </c>
    </row>
    <row r="1331" spans="1:3" x14ac:dyDescent="0.45">
      <c r="A1331" s="28">
        <v>7290000292915</v>
      </c>
      <c r="B1331" s="29">
        <v>45836</v>
      </c>
      <c r="C1331">
        <v>4.1311326037876501</v>
      </c>
    </row>
    <row r="1332" spans="1:3" x14ac:dyDescent="0.45">
      <c r="A1332" s="28">
        <v>7290000294780</v>
      </c>
      <c r="B1332" s="29">
        <v>45836</v>
      </c>
      <c r="C1332">
        <v>8.2513120346081692</v>
      </c>
    </row>
    <row r="1333" spans="1:3" x14ac:dyDescent="0.45">
      <c r="A1333" s="28">
        <v>7290000295367</v>
      </c>
      <c r="B1333" s="29">
        <v>45836</v>
      </c>
      <c r="C1333">
        <v>3.5574926139802301</v>
      </c>
    </row>
    <row r="1334" spans="1:3" x14ac:dyDescent="0.45">
      <c r="A1334" s="28">
        <v>7290000295541</v>
      </c>
      <c r="B1334" s="29">
        <v>45836</v>
      </c>
      <c r="C1334">
        <v>3.3883908770184101</v>
      </c>
    </row>
    <row r="1335" spans="1:3" x14ac:dyDescent="0.45">
      <c r="A1335" s="28">
        <v>7290001246610</v>
      </c>
      <c r="B1335" s="29">
        <v>45836</v>
      </c>
      <c r="C1335">
        <v>3.6392969113331999</v>
      </c>
    </row>
    <row r="1336" spans="1:3" x14ac:dyDescent="0.45">
      <c r="A1336" s="28">
        <v>7290005424700</v>
      </c>
      <c r="B1336" s="29">
        <v>45836</v>
      </c>
      <c r="C1336">
        <v>4.2234796181562997</v>
      </c>
    </row>
    <row r="1337" spans="1:3" x14ac:dyDescent="0.45">
      <c r="A1337" s="28">
        <v>7290005425110</v>
      </c>
      <c r="B1337" s="29">
        <v>45836</v>
      </c>
      <c r="C1337">
        <v>4.2632879960233296</v>
      </c>
    </row>
    <row r="1338" spans="1:3" x14ac:dyDescent="0.45">
      <c r="A1338" s="28">
        <v>7290005425196</v>
      </c>
      <c r="B1338" s="29">
        <v>45836</v>
      </c>
      <c r="C1338">
        <v>3.6002980636942699</v>
      </c>
    </row>
    <row r="1339" spans="1:3" x14ac:dyDescent="0.45">
      <c r="A1339" s="28">
        <v>7290012116025</v>
      </c>
      <c r="B1339" s="29">
        <v>45836</v>
      </c>
      <c r="C1339">
        <v>4.2836034183324099</v>
      </c>
    </row>
    <row r="1340" spans="1:3" x14ac:dyDescent="0.45">
      <c r="A1340" s="28">
        <v>7290012117534</v>
      </c>
      <c r="B1340" s="29">
        <v>45836</v>
      </c>
      <c r="C1340">
        <v>3.59435618256536</v>
      </c>
    </row>
    <row r="1341" spans="1:3" x14ac:dyDescent="0.45">
      <c r="A1341" s="28">
        <v>7290013268204</v>
      </c>
      <c r="B1341" s="29">
        <v>45836</v>
      </c>
      <c r="C1341">
        <v>3.3681682017627601</v>
      </c>
    </row>
    <row r="1342" spans="1:3" x14ac:dyDescent="0.45">
      <c r="A1342" s="28">
        <v>7290013268891</v>
      </c>
      <c r="B1342" s="29">
        <v>45836</v>
      </c>
      <c r="C1342">
        <v>3.5799595147616499</v>
      </c>
    </row>
    <row r="1343" spans="1:3" x14ac:dyDescent="0.45">
      <c r="A1343" s="28">
        <v>7290013269003</v>
      </c>
      <c r="B1343" s="29">
        <v>45836</v>
      </c>
      <c r="C1343">
        <v>3.5799204300558598</v>
      </c>
    </row>
    <row r="1344" spans="1:3" x14ac:dyDescent="0.45">
      <c r="A1344" s="28">
        <v>7290014397453</v>
      </c>
      <c r="B1344" s="29">
        <v>45836</v>
      </c>
      <c r="C1344">
        <v>3.6116262628589801</v>
      </c>
    </row>
    <row r="1345" spans="1:3" x14ac:dyDescent="0.45">
      <c r="A1345" s="28">
        <v>7290019274483</v>
      </c>
      <c r="B1345" s="29">
        <v>45836</v>
      </c>
      <c r="C1345">
        <v>3.6085748993404199</v>
      </c>
    </row>
    <row r="1346" spans="1:3" x14ac:dyDescent="0.45">
      <c r="A1346" s="28">
        <v>7290019274490</v>
      </c>
      <c r="B1346" s="29">
        <v>45836</v>
      </c>
      <c r="C1346">
        <v>3.6625690464774001</v>
      </c>
    </row>
    <row r="1347" spans="1:3" x14ac:dyDescent="0.45">
      <c r="A1347" s="28">
        <v>7290019611325</v>
      </c>
      <c r="B1347" s="29">
        <v>45836</v>
      </c>
      <c r="C1347">
        <v>3.5575953108992802</v>
      </c>
    </row>
    <row r="1348" spans="1:3" x14ac:dyDescent="0.45">
      <c r="A1348" s="28">
        <v>7290103702489</v>
      </c>
      <c r="B1348" s="29">
        <v>45836</v>
      </c>
      <c r="C1348">
        <v>8.2920317499110894</v>
      </c>
    </row>
    <row r="1349" spans="1:3" x14ac:dyDescent="0.45">
      <c r="A1349" s="28">
        <v>7290103703370</v>
      </c>
      <c r="B1349" s="29">
        <v>45836</v>
      </c>
      <c r="C1349">
        <v>8.1137730696634005</v>
      </c>
    </row>
    <row r="1350" spans="1:3" x14ac:dyDescent="0.45">
      <c r="A1350" s="28">
        <v>7290103704155</v>
      </c>
      <c r="B1350" s="29">
        <v>45836</v>
      </c>
      <c r="C1350">
        <v>8.32834063804723</v>
      </c>
    </row>
    <row r="1351" spans="1:3" x14ac:dyDescent="0.45">
      <c r="A1351" s="28">
        <v>7290103704179</v>
      </c>
      <c r="B1351" s="29">
        <v>45836</v>
      </c>
      <c r="C1351">
        <v>8.3006159083214897</v>
      </c>
    </row>
    <row r="1352" spans="1:3" x14ac:dyDescent="0.45">
      <c r="A1352" s="28">
        <v>7290103704919</v>
      </c>
      <c r="B1352" s="29">
        <v>45836</v>
      </c>
      <c r="C1352">
        <v>8.1244069410553692</v>
      </c>
    </row>
    <row r="1353" spans="1:3" x14ac:dyDescent="0.45">
      <c r="A1353" s="28">
        <v>7290107280099</v>
      </c>
      <c r="B1353" s="29">
        <v>45836</v>
      </c>
      <c r="C1353">
        <v>3.3639732367130502</v>
      </c>
    </row>
    <row r="1354" spans="1:3" x14ac:dyDescent="0.45">
      <c r="A1354" s="28">
        <v>7290108351699</v>
      </c>
      <c r="B1354" s="29">
        <v>45836</v>
      </c>
      <c r="C1354">
        <v>4.0946443871602698</v>
      </c>
    </row>
    <row r="1355" spans="1:3" x14ac:dyDescent="0.45">
      <c r="A1355" s="28">
        <v>7290108352702</v>
      </c>
      <c r="B1355" s="29">
        <v>45836</v>
      </c>
      <c r="C1355">
        <v>3.3749989510768499</v>
      </c>
    </row>
    <row r="1356" spans="1:3" x14ac:dyDescent="0.45">
      <c r="A1356" s="28">
        <v>7290108356298</v>
      </c>
      <c r="B1356" s="29">
        <v>45836</v>
      </c>
      <c r="C1356">
        <v>4.2385329162947398</v>
      </c>
    </row>
    <row r="1357" spans="1:3" x14ac:dyDescent="0.45">
      <c r="A1357" s="28">
        <v>7290108356700</v>
      </c>
      <c r="B1357" s="29">
        <v>45836</v>
      </c>
      <c r="C1357">
        <v>3.3962844637354799</v>
      </c>
    </row>
    <row r="1358" spans="1:3" x14ac:dyDescent="0.45">
      <c r="A1358" s="28">
        <v>7290108356717</v>
      </c>
      <c r="B1358" s="29">
        <v>45836</v>
      </c>
      <c r="C1358">
        <v>3.7718560308865601</v>
      </c>
    </row>
    <row r="1359" spans="1:3" x14ac:dyDescent="0.45">
      <c r="A1359" s="28">
        <v>7290108356724</v>
      </c>
      <c r="B1359" s="29">
        <v>45836</v>
      </c>
      <c r="C1359">
        <v>4.2393640728602202</v>
      </c>
    </row>
    <row r="1360" spans="1:3" x14ac:dyDescent="0.45">
      <c r="A1360" s="28">
        <v>7290108357240</v>
      </c>
      <c r="B1360" s="29">
        <v>45836</v>
      </c>
      <c r="C1360">
        <v>3.5300523396965602</v>
      </c>
    </row>
    <row r="1361" spans="1:3" x14ac:dyDescent="0.45">
      <c r="A1361" s="28">
        <v>7290108357288</v>
      </c>
      <c r="B1361" s="29">
        <v>45836</v>
      </c>
      <c r="C1361">
        <v>8.2017601333818995</v>
      </c>
    </row>
    <row r="1362" spans="1:3" x14ac:dyDescent="0.45">
      <c r="A1362" s="28">
        <v>7290108357844</v>
      </c>
      <c r="B1362" s="29">
        <v>45836</v>
      </c>
      <c r="C1362">
        <v>4.1611807203707096</v>
      </c>
    </row>
    <row r="1363" spans="1:3" x14ac:dyDescent="0.45">
      <c r="A1363" s="28">
        <v>7290108359077</v>
      </c>
      <c r="B1363" s="29">
        <v>45836</v>
      </c>
      <c r="C1363">
        <v>3.3677997197405598</v>
      </c>
    </row>
    <row r="1364" spans="1:3" x14ac:dyDescent="0.45">
      <c r="A1364" s="28">
        <v>7290108359176</v>
      </c>
      <c r="B1364" s="29">
        <v>45836</v>
      </c>
      <c r="C1364">
        <v>3.38167605823981</v>
      </c>
    </row>
    <row r="1365" spans="1:3" x14ac:dyDescent="0.45">
      <c r="A1365" s="28">
        <v>7290108359190</v>
      </c>
      <c r="B1365" s="29">
        <v>45836</v>
      </c>
      <c r="C1365">
        <v>3.38504409980081</v>
      </c>
    </row>
    <row r="1366" spans="1:3" x14ac:dyDescent="0.45">
      <c r="A1366" s="28">
        <v>8001090184375</v>
      </c>
      <c r="B1366" s="29">
        <v>45836</v>
      </c>
      <c r="C1366">
        <v>3.4444303084347401</v>
      </c>
    </row>
    <row r="1367" spans="1:3" x14ac:dyDescent="0.45">
      <c r="A1367" s="28">
        <v>8001090184412</v>
      </c>
      <c r="B1367" s="29">
        <v>45836</v>
      </c>
      <c r="C1367">
        <v>8.1941449313571404</v>
      </c>
    </row>
    <row r="1368" spans="1:3" x14ac:dyDescent="0.45">
      <c r="A1368" s="28">
        <v>8001841625362</v>
      </c>
      <c r="B1368" s="29">
        <v>45836</v>
      </c>
      <c r="C1368">
        <v>3.6477774735697199</v>
      </c>
    </row>
    <row r="1369" spans="1:3" x14ac:dyDescent="0.45">
      <c r="A1369" s="28">
        <v>8001841893990</v>
      </c>
      <c r="B1369" s="29">
        <v>45836</v>
      </c>
      <c r="C1369">
        <v>3.3596518899719898</v>
      </c>
    </row>
    <row r="1370" spans="1:3" x14ac:dyDescent="0.45">
      <c r="A1370" s="28">
        <v>8006540429327</v>
      </c>
      <c r="B1370" s="29">
        <v>45836</v>
      </c>
      <c r="C1370">
        <v>8.2551510781061399</v>
      </c>
    </row>
    <row r="1371" spans="1:3" x14ac:dyDescent="0.45">
      <c r="A1371" s="28">
        <v>8700216163811</v>
      </c>
      <c r="B1371" s="29">
        <v>45836</v>
      </c>
      <c r="C1371">
        <v>8.3322349266486295</v>
      </c>
    </row>
    <row r="1372" spans="1:3" x14ac:dyDescent="0.45">
      <c r="A1372" s="28">
        <v>8700216236034</v>
      </c>
      <c r="B1372" s="29">
        <v>45836</v>
      </c>
      <c r="C1372">
        <v>3.5013011553483402</v>
      </c>
    </row>
    <row r="1373" spans="1:3" x14ac:dyDescent="0.45">
      <c r="A1373" s="28">
        <v>8700216236751</v>
      </c>
      <c r="B1373" s="29">
        <v>45836</v>
      </c>
      <c r="C1373">
        <v>3.6469401290393302</v>
      </c>
    </row>
    <row r="1374" spans="1:3" x14ac:dyDescent="0.45">
      <c r="A1374" s="28">
        <v>4084500088917</v>
      </c>
      <c r="B1374" s="29">
        <v>45837</v>
      </c>
      <c r="C1374">
        <v>4.2005430397281902</v>
      </c>
    </row>
    <row r="1375" spans="1:3" x14ac:dyDescent="0.45">
      <c r="A1375" s="28">
        <v>4084500853836</v>
      </c>
      <c r="B1375" s="29">
        <v>45837</v>
      </c>
      <c r="C1375">
        <v>4.19110906717916</v>
      </c>
    </row>
    <row r="1376" spans="1:3" x14ac:dyDescent="0.45">
      <c r="A1376" s="28">
        <v>7290000286921</v>
      </c>
      <c r="B1376" s="29">
        <v>45837</v>
      </c>
      <c r="C1376">
        <v>1.32245141760748</v>
      </c>
    </row>
    <row r="1377" spans="1:3" x14ac:dyDescent="0.45">
      <c r="A1377" s="28">
        <v>7290000288024</v>
      </c>
      <c r="B1377" s="29">
        <v>45837</v>
      </c>
      <c r="C1377">
        <v>4.2299322177998304</v>
      </c>
    </row>
    <row r="1378" spans="1:3" x14ac:dyDescent="0.45">
      <c r="A1378" s="28">
        <v>7290000288307</v>
      </c>
      <c r="B1378" s="29">
        <v>45837</v>
      </c>
      <c r="C1378">
        <v>1.21581453211719</v>
      </c>
    </row>
    <row r="1379" spans="1:3" x14ac:dyDescent="0.45">
      <c r="A1379" s="28">
        <v>7290000288659</v>
      </c>
      <c r="B1379" s="29">
        <v>45837</v>
      </c>
      <c r="C1379">
        <v>1.21378588921742</v>
      </c>
    </row>
    <row r="1380" spans="1:3" x14ac:dyDescent="0.45">
      <c r="A1380" s="28">
        <v>7290000292915</v>
      </c>
      <c r="B1380" s="29">
        <v>45837</v>
      </c>
      <c r="C1380">
        <v>1.9504898689889101</v>
      </c>
    </row>
    <row r="1381" spans="1:3" x14ac:dyDescent="0.45">
      <c r="A1381" s="28">
        <v>7290000294780</v>
      </c>
      <c r="B1381" s="29">
        <v>45837</v>
      </c>
      <c r="C1381">
        <v>4.1795488724362402</v>
      </c>
    </row>
    <row r="1382" spans="1:3" x14ac:dyDescent="0.45">
      <c r="A1382" s="28">
        <v>7290000295367</v>
      </c>
      <c r="B1382" s="29">
        <v>45837</v>
      </c>
      <c r="C1382">
        <v>1.7668677508136399</v>
      </c>
    </row>
    <row r="1383" spans="1:3" x14ac:dyDescent="0.45">
      <c r="A1383" s="28">
        <v>7290000295541</v>
      </c>
      <c r="B1383" s="29">
        <v>45837</v>
      </c>
      <c r="C1383">
        <v>1.21851255968635</v>
      </c>
    </row>
    <row r="1384" spans="1:3" x14ac:dyDescent="0.45">
      <c r="A1384" s="28">
        <v>7290001246610</v>
      </c>
      <c r="B1384" s="29">
        <v>45837</v>
      </c>
      <c r="C1384">
        <v>1.7734305948460101</v>
      </c>
    </row>
    <row r="1385" spans="1:3" x14ac:dyDescent="0.45">
      <c r="A1385" s="28">
        <v>7290005424700</v>
      </c>
      <c r="B1385" s="29">
        <v>45837</v>
      </c>
      <c r="C1385">
        <v>1.9776703530331701</v>
      </c>
    </row>
    <row r="1386" spans="1:3" x14ac:dyDescent="0.45">
      <c r="A1386" s="28">
        <v>7290005425110</v>
      </c>
      <c r="B1386" s="29">
        <v>45837</v>
      </c>
      <c r="C1386">
        <v>1.9040390407955901</v>
      </c>
    </row>
    <row r="1387" spans="1:3" x14ac:dyDescent="0.45">
      <c r="A1387" s="28">
        <v>7290005425196</v>
      </c>
      <c r="B1387" s="29">
        <v>45837</v>
      </c>
      <c r="C1387">
        <v>1.7610651523740299</v>
      </c>
    </row>
    <row r="1388" spans="1:3" x14ac:dyDescent="0.45">
      <c r="A1388" s="28">
        <v>7290012116025</v>
      </c>
      <c r="B1388" s="29">
        <v>45837</v>
      </c>
      <c r="C1388">
        <v>1.9664437397813599</v>
      </c>
    </row>
    <row r="1389" spans="1:3" x14ac:dyDescent="0.45">
      <c r="A1389" s="28">
        <v>7290012117534</v>
      </c>
      <c r="B1389" s="29">
        <v>45837</v>
      </c>
      <c r="C1389">
        <v>1.75882131398357</v>
      </c>
    </row>
    <row r="1390" spans="1:3" x14ac:dyDescent="0.45">
      <c r="A1390" s="28">
        <v>7290013268204</v>
      </c>
      <c r="B1390" s="29">
        <v>45837</v>
      </c>
      <c r="C1390">
        <v>1.2293883823729099</v>
      </c>
    </row>
    <row r="1391" spans="1:3" x14ac:dyDescent="0.45">
      <c r="A1391" s="28">
        <v>7290013268891</v>
      </c>
      <c r="B1391" s="29">
        <v>45837</v>
      </c>
      <c r="C1391">
        <v>1.7760616567918399</v>
      </c>
    </row>
    <row r="1392" spans="1:3" x14ac:dyDescent="0.45">
      <c r="A1392" s="28">
        <v>7290013269003</v>
      </c>
      <c r="B1392" s="29">
        <v>45837</v>
      </c>
      <c r="C1392">
        <v>1.7440432466008899</v>
      </c>
    </row>
    <row r="1393" spans="1:3" x14ac:dyDescent="0.45">
      <c r="A1393" s="28">
        <v>7290014397453</v>
      </c>
      <c r="B1393" s="29">
        <v>45837</v>
      </c>
      <c r="C1393">
        <v>1.77135818512659</v>
      </c>
    </row>
    <row r="1394" spans="1:3" x14ac:dyDescent="0.45">
      <c r="A1394" s="28">
        <v>7290019274483</v>
      </c>
      <c r="B1394" s="29">
        <v>45837</v>
      </c>
      <c r="C1394">
        <v>1.7626200868965001</v>
      </c>
    </row>
    <row r="1395" spans="1:3" x14ac:dyDescent="0.45">
      <c r="A1395" s="28">
        <v>7290019274490</v>
      </c>
      <c r="B1395" s="29">
        <v>45837</v>
      </c>
      <c r="C1395">
        <v>1.7518229228368201</v>
      </c>
    </row>
    <row r="1396" spans="1:3" x14ac:dyDescent="0.45">
      <c r="A1396" s="28">
        <v>7290019611325</v>
      </c>
      <c r="B1396" s="29">
        <v>45837</v>
      </c>
      <c r="C1396">
        <v>1.74307596287453</v>
      </c>
    </row>
    <row r="1397" spans="1:3" x14ac:dyDescent="0.45">
      <c r="A1397" s="28">
        <v>7290103702489</v>
      </c>
      <c r="B1397" s="29">
        <v>45837</v>
      </c>
      <c r="C1397">
        <v>4.1885631725278403</v>
      </c>
    </row>
    <row r="1398" spans="1:3" x14ac:dyDescent="0.45">
      <c r="A1398" s="28">
        <v>7290103703370</v>
      </c>
      <c r="B1398" s="29">
        <v>45837</v>
      </c>
      <c r="C1398">
        <v>4.2064366290760704</v>
      </c>
    </row>
    <row r="1399" spans="1:3" x14ac:dyDescent="0.45">
      <c r="A1399" s="28">
        <v>7290103704155</v>
      </c>
      <c r="B1399" s="29">
        <v>45837</v>
      </c>
      <c r="C1399">
        <v>4.1778722472194803</v>
      </c>
    </row>
    <row r="1400" spans="1:3" x14ac:dyDescent="0.45">
      <c r="A1400" s="28">
        <v>7290103704179</v>
      </c>
      <c r="B1400" s="29">
        <v>45837</v>
      </c>
      <c r="C1400">
        <v>4.2079251410531704</v>
      </c>
    </row>
    <row r="1401" spans="1:3" x14ac:dyDescent="0.45">
      <c r="A1401" s="28">
        <v>7290103704919</v>
      </c>
      <c r="B1401" s="29">
        <v>45837</v>
      </c>
      <c r="C1401">
        <v>4.1774663754573904</v>
      </c>
    </row>
    <row r="1402" spans="1:3" x14ac:dyDescent="0.45">
      <c r="A1402" s="28">
        <v>7290107280099</v>
      </c>
      <c r="B1402" s="29">
        <v>45837</v>
      </c>
      <c r="C1402">
        <v>1.2250064376612599</v>
      </c>
    </row>
    <row r="1403" spans="1:3" x14ac:dyDescent="0.45">
      <c r="A1403" s="28">
        <v>7290108351699</v>
      </c>
      <c r="B1403" s="29">
        <v>45837</v>
      </c>
      <c r="C1403">
        <v>1.97116295675054</v>
      </c>
    </row>
    <row r="1404" spans="1:3" x14ac:dyDescent="0.45">
      <c r="A1404" s="28">
        <v>7290108352702</v>
      </c>
      <c r="B1404" s="29">
        <v>45837</v>
      </c>
      <c r="C1404">
        <v>1.2089688741281599</v>
      </c>
    </row>
    <row r="1405" spans="1:3" x14ac:dyDescent="0.45">
      <c r="A1405" s="28">
        <v>7290108356298</v>
      </c>
      <c r="B1405" s="29">
        <v>45837</v>
      </c>
      <c r="C1405">
        <v>1.9436323437873599</v>
      </c>
    </row>
    <row r="1406" spans="1:3" x14ac:dyDescent="0.45">
      <c r="A1406" s="28">
        <v>7290108356700</v>
      </c>
      <c r="B1406" s="29">
        <v>45837</v>
      </c>
      <c r="C1406">
        <v>1.21813370837487</v>
      </c>
    </row>
    <row r="1407" spans="1:3" x14ac:dyDescent="0.45">
      <c r="A1407" s="28">
        <v>7290108356717</v>
      </c>
      <c r="B1407" s="29">
        <v>45837</v>
      </c>
      <c r="C1407">
        <v>1.92910692758131</v>
      </c>
    </row>
    <row r="1408" spans="1:3" x14ac:dyDescent="0.45">
      <c r="A1408" s="28">
        <v>7290108356724</v>
      </c>
      <c r="B1408" s="29">
        <v>45837</v>
      </c>
      <c r="C1408">
        <v>1.9325439463259</v>
      </c>
    </row>
    <row r="1409" spans="1:3" x14ac:dyDescent="0.45">
      <c r="A1409" s="28">
        <v>7290108357240</v>
      </c>
      <c r="B1409" s="29">
        <v>45837</v>
      </c>
      <c r="C1409">
        <v>1.7640132493893299</v>
      </c>
    </row>
    <row r="1410" spans="1:3" x14ac:dyDescent="0.45">
      <c r="A1410" s="28">
        <v>7290108357288</v>
      </c>
      <c r="B1410" s="29">
        <v>45837</v>
      </c>
      <c r="C1410">
        <v>4.19183204759499</v>
      </c>
    </row>
    <row r="1411" spans="1:3" x14ac:dyDescent="0.45">
      <c r="A1411" s="28">
        <v>7290108357844</v>
      </c>
      <c r="B1411" s="29">
        <v>45837</v>
      </c>
      <c r="C1411">
        <v>1.95795043874387</v>
      </c>
    </row>
    <row r="1412" spans="1:3" x14ac:dyDescent="0.45">
      <c r="A1412" s="28">
        <v>7290108359077</v>
      </c>
      <c r="B1412" s="29">
        <v>45837</v>
      </c>
      <c r="C1412">
        <v>1.2098983478365499</v>
      </c>
    </row>
    <row r="1413" spans="1:3" x14ac:dyDescent="0.45">
      <c r="A1413" s="28">
        <v>7290108359176</v>
      </c>
      <c r="B1413" s="29">
        <v>45837</v>
      </c>
      <c r="C1413">
        <v>1.2151544318971099</v>
      </c>
    </row>
    <row r="1414" spans="1:3" x14ac:dyDescent="0.45">
      <c r="A1414" s="28">
        <v>7290108359190</v>
      </c>
      <c r="B1414" s="29">
        <v>45837</v>
      </c>
      <c r="C1414">
        <v>1.2130514785267501</v>
      </c>
    </row>
    <row r="1415" spans="1:3" x14ac:dyDescent="0.45">
      <c r="A1415" s="28">
        <v>8001090184375</v>
      </c>
      <c r="B1415" s="29">
        <v>45837</v>
      </c>
      <c r="C1415">
        <v>1.42033292869081</v>
      </c>
    </row>
    <row r="1416" spans="1:3" x14ac:dyDescent="0.45">
      <c r="A1416" s="28">
        <v>8001090184412</v>
      </c>
      <c r="B1416" s="29">
        <v>45837</v>
      </c>
      <c r="C1416">
        <v>4.1544202158170798</v>
      </c>
    </row>
    <row r="1417" spans="1:3" x14ac:dyDescent="0.45">
      <c r="A1417" s="28">
        <v>8001841625362</v>
      </c>
      <c r="B1417" s="29">
        <v>45837</v>
      </c>
      <c r="C1417">
        <v>1.7719170835956799</v>
      </c>
    </row>
    <row r="1418" spans="1:3" x14ac:dyDescent="0.45">
      <c r="A1418" s="28">
        <v>8001841893990</v>
      </c>
      <c r="B1418" s="29">
        <v>45837</v>
      </c>
      <c r="C1418">
        <v>1.2150334158454299</v>
      </c>
    </row>
    <row r="1419" spans="1:3" x14ac:dyDescent="0.45">
      <c r="A1419" s="28">
        <v>8006540429327</v>
      </c>
      <c r="B1419" s="29">
        <v>45837</v>
      </c>
      <c r="C1419">
        <v>4.1541784708175298</v>
      </c>
    </row>
    <row r="1420" spans="1:3" x14ac:dyDescent="0.45">
      <c r="A1420" s="28">
        <v>8700216163811</v>
      </c>
      <c r="B1420" s="29">
        <v>45837</v>
      </c>
      <c r="C1420">
        <v>4.1449574418996704</v>
      </c>
    </row>
    <row r="1421" spans="1:3" x14ac:dyDescent="0.45">
      <c r="A1421" s="28">
        <v>8700216236034</v>
      </c>
      <c r="B1421" s="29">
        <v>45837</v>
      </c>
      <c r="C1421">
        <v>1.4404991827079701</v>
      </c>
    </row>
    <row r="1422" spans="1:3" x14ac:dyDescent="0.45">
      <c r="A1422" s="28">
        <v>8700216236751</v>
      </c>
      <c r="B1422" s="29">
        <v>45837</v>
      </c>
      <c r="C1422">
        <v>1.7579145716903299</v>
      </c>
    </row>
    <row r="1423" spans="1:3" x14ac:dyDescent="0.45">
      <c r="A1423" s="28">
        <v>4084500088917</v>
      </c>
      <c r="B1423" s="29">
        <v>45838</v>
      </c>
      <c r="C1423">
        <v>4.2005430397281902</v>
      </c>
    </row>
    <row r="1424" spans="1:3" x14ac:dyDescent="0.45">
      <c r="A1424" s="28">
        <v>4084500853836</v>
      </c>
      <c r="B1424" s="29">
        <v>45838</v>
      </c>
      <c r="C1424">
        <v>4.19110906717916</v>
      </c>
    </row>
    <row r="1425" spans="1:3" x14ac:dyDescent="0.45">
      <c r="A1425" s="28">
        <v>7290000286921</v>
      </c>
      <c r="B1425" s="29">
        <v>45838</v>
      </c>
      <c r="C1425">
        <v>1.32245141760748</v>
      </c>
    </row>
    <row r="1426" spans="1:3" x14ac:dyDescent="0.45">
      <c r="A1426" s="28">
        <v>7290000288024</v>
      </c>
      <c r="B1426" s="29">
        <v>45838</v>
      </c>
      <c r="C1426">
        <v>4.2299322177998304</v>
      </c>
    </row>
    <row r="1427" spans="1:3" x14ac:dyDescent="0.45">
      <c r="A1427" s="28">
        <v>7290000288307</v>
      </c>
      <c r="B1427" s="29">
        <v>45838</v>
      </c>
      <c r="C1427">
        <v>1.21581453211719</v>
      </c>
    </row>
    <row r="1428" spans="1:3" x14ac:dyDescent="0.45">
      <c r="A1428" s="28">
        <v>7290000288659</v>
      </c>
      <c r="B1428" s="29">
        <v>45838</v>
      </c>
      <c r="C1428">
        <v>1.21378588921742</v>
      </c>
    </row>
    <row r="1429" spans="1:3" x14ac:dyDescent="0.45">
      <c r="A1429" s="28">
        <v>7290000292915</v>
      </c>
      <c r="B1429" s="29">
        <v>45838</v>
      </c>
      <c r="C1429">
        <v>1.9504898689889101</v>
      </c>
    </row>
    <row r="1430" spans="1:3" x14ac:dyDescent="0.45">
      <c r="A1430" s="28">
        <v>7290000294780</v>
      </c>
      <c r="B1430" s="29">
        <v>45838</v>
      </c>
      <c r="C1430">
        <v>4.1795488724362402</v>
      </c>
    </row>
    <row r="1431" spans="1:3" x14ac:dyDescent="0.45">
      <c r="A1431" s="28">
        <v>7290000295367</v>
      </c>
      <c r="B1431" s="29">
        <v>45838</v>
      </c>
      <c r="C1431">
        <v>1.7668677508136399</v>
      </c>
    </row>
    <row r="1432" spans="1:3" x14ac:dyDescent="0.45">
      <c r="A1432" s="28">
        <v>7290000295541</v>
      </c>
      <c r="B1432" s="29">
        <v>45838</v>
      </c>
      <c r="C1432">
        <v>1.21851255968635</v>
      </c>
    </row>
    <row r="1433" spans="1:3" x14ac:dyDescent="0.45">
      <c r="A1433" s="28">
        <v>7290001246610</v>
      </c>
      <c r="B1433" s="29">
        <v>45838</v>
      </c>
      <c r="C1433">
        <v>1.7734305948460101</v>
      </c>
    </row>
    <row r="1434" spans="1:3" x14ac:dyDescent="0.45">
      <c r="A1434" s="28">
        <v>7290005424700</v>
      </c>
      <c r="B1434" s="29">
        <v>45838</v>
      </c>
      <c r="C1434">
        <v>1.9776703530331701</v>
      </c>
    </row>
    <row r="1435" spans="1:3" x14ac:dyDescent="0.45">
      <c r="A1435" s="28">
        <v>7290005425110</v>
      </c>
      <c r="B1435" s="29">
        <v>45838</v>
      </c>
      <c r="C1435">
        <v>1.9040390407955901</v>
      </c>
    </row>
    <row r="1436" spans="1:3" x14ac:dyDescent="0.45">
      <c r="A1436" s="28">
        <v>7290005425196</v>
      </c>
      <c r="B1436" s="29">
        <v>45838</v>
      </c>
      <c r="C1436">
        <v>1.7610651523740299</v>
      </c>
    </row>
    <row r="1437" spans="1:3" x14ac:dyDescent="0.45">
      <c r="A1437" s="28">
        <v>7290012116025</v>
      </c>
      <c r="B1437" s="29">
        <v>45838</v>
      </c>
      <c r="C1437">
        <v>1.9664437397813599</v>
      </c>
    </row>
    <row r="1438" spans="1:3" x14ac:dyDescent="0.45">
      <c r="A1438" s="28">
        <v>7290012117534</v>
      </c>
      <c r="B1438" s="29">
        <v>45838</v>
      </c>
      <c r="C1438">
        <v>1.75882131398357</v>
      </c>
    </row>
    <row r="1439" spans="1:3" x14ac:dyDescent="0.45">
      <c r="A1439" s="28">
        <v>7290013268204</v>
      </c>
      <c r="B1439" s="29">
        <v>45838</v>
      </c>
      <c r="C1439">
        <v>1.2293883823729099</v>
      </c>
    </row>
    <row r="1440" spans="1:3" x14ac:dyDescent="0.45">
      <c r="A1440" s="28">
        <v>7290013268891</v>
      </c>
      <c r="B1440" s="29">
        <v>45838</v>
      </c>
      <c r="C1440">
        <v>1.7760616567918399</v>
      </c>
    </row>
    <row r="1441" spans="1:3" x14ac:dyDescent="0.45">
      <c r="A1441" s="28">
        <v>7290013269003</v>
      </c>
      <c r="B1441" s="29">
        <v>45838</v>
      </c>
      <c r="C1441">
        <v>1.7440432466008899</v>
      </c>
    </row>
    <row r="1442" spans="1:3" x14ac:dyDescent="0.45">
      <c r="A1442" s="28">
        <v>7290014397453</v>
      </c>
      <c r="B1442" s="29">
        <v>45838</v>
      </c>
      <c r="C1442">
        <v>1.77135818512659</v>
      </c>
    </row>
    <row r="1443" spans="1:3" x14ac:dyDescent="0.45">
      <c r="A1443" s="28">
        <v>7290019274483</v>
      </c>
      <c r="B1443" s="29">
        <v>45838</v>
      </c>
      <c r="C1443">
        <v>1.7626200868965001</v>
      </c>
    </row>
    <row r="1444" spans="1:3" x14ac:dyDescent="0.45">
      <c r="A1444" s="28">
        <v>7290019274490</v>
      </c>
      <c r="B1444" s="29">
        <v>45838</v>
      </c>
      <c r="C1444">
        <v>1.7518229228368201</v>
      </c>
    </row>
    <row r="1445" spans="1:3" x14ac:dyDescent="0.45">
      <c r="A1445" s="28">
        <v>7290019611325</v>
      </c>
      <c r="B1445" s="29">
        <v>45838</v>
      </c>
      <c r="C1445">
        <v>1.74307596287453</v>
      </c>
    </row>
    <row r="1446" spans="1:3" x14ac:dyDescent="0.45">
      <c r="A1446" s="28">
        <v>7290103702489</v>
      </c>
      <c r="B1446" s="29">
        <v>45838</v>
      </c>
      <c r="C1446">
        <v>4.1885631725278403</v>
      </c>
    </row>
    <row r="1447" spans="1:3" x14ac:dyDescent="0.45">
      <c r="A1447" s="28">
        <v>7290103703370</v>
      </c>
      <c r="B1447" s="29">
        <v>45838</v>
      </c>
      <c r="C1447">
        <v>4.2064366290760704</v>
      </c>
    </row>
    <row r="1448" spans="1:3" x14ac:dyDescent="0.45">
      <c r="A1448" s="28">
        <v>7290103704155</v>
      </c>
      <c r="B1448" s="29">
        <v>45838</v>
      </c>
      <c r="C1448">
        <v>4.1778722472194803</v>
      </c>
    </row>
    <row r="1449" spans="1:3" x14ac:dyDescent="0.45">
      <c r="A1449" s="28">
        <v>7290103704179</v>
      </c>
      <c r="B1449" s="29">
        <v>45838</v>
      </c>
      <c r="C1449">
        <v>4.2079251410531704</v>
      </c>
    </row>
    <row r="1450" spans="1:3" x14ac:dyDescent="0.45">
      <c r="A1450" s="28">
        <v>7290103704919</v>
      </c>
      <c r="B1450" s="29">
        <v>45838</v>
      </c>
      <c r="C1450">
        <v>4.1774663754573904</v>
      </c>
    </row>
    <row r="1451" spans="1:3" x14ac:dyDescent="0.45">
      <c r="A1451" s="28">
        <v>7290107280099</v>
      </c>
      <c r="B1451" s="29">
        <v>45838</v>
      </c>
      <c r="C1451">
        <v>1.2250064376612599</v>
      </c>
    </row>
    <row r="1452" spans="1:3" x14ac:dyDescent="0.45">
      <c r="A1452" s="28">
        <v>7290108351699</v>
      </c>
      <c r="B1452" s="29">
        <v>45838</v>
      </c>
      <c r="C1452">
        <v>1.97116295675054</v>
      </c>
    </row>
    <row r="1453" spans="1:3" x14ac:dyDescent="0.45">
      <c r="A1453" s="28">
        <v>7290108352702</v>
      </c>
      <c r="B1453" s="29">
        <v>45838</v>
      </c>
      <c r="C1453">
        <v>1.2089688741281599</v>
      </c>
    </row>
    <row r="1454" spans="1:3" x14ac:dyDescent="0.45">
      <c r="A1454" s="28">
        <v>7290108356298</v>
      </c>
      <c r="B1454" s="29">
        <v>45838</v>
      </c>
      <c r="C1454">
        <v>1.9436323437873599</v>
      </c>
    </row>
    <row r="1455" spans="1:3" x14ac:dyDescent="0.45">
      <c r="A1455" s="28">
        <v>7290108356700</v>
      </c>
      <c r="B1455" s="29">
        <v>45838</v>
      </c>
      <c r="C1455">
        <v>1.21813370837487</v>
      </c>
    </row>
    <row r="1456" spans="1:3" x14ac:dyDescent="0.45">
      <c r="A1456" s="28">
        <v>7290108356717</v>
      </c>
      <c r="B1456" s="29">
        <v>45838</v>
      </c>
      <c r="C1456">
        <v>1.92910692758131</v>
      </c>
    </row>
    <row r="1457" spans="1:3" x14ac:dyDescent="0.45">
      <c r="A1457" s="28">
        <v>7290108356724</v>
      </c>
      <c r="B1457" s="29">
        <v>45838</v>
      </c>
      <c r="C1457">
        <v>1.9325439463259</v>
      </c>
    </row>
    <row r="1458" spans="1:3" x14ac:dyDescent="0.45">
      <c r="A1458" s="28">
        <v>7290108357240</v>
      </c>
      <c r="B1458" s="29">
        <v>45838</v>
      </c>
      <c r="C1458">
        <v>1.7640132493893299</v>
      </c>
    </row>
    <row r="1459" spans="1:3" x14ac:dyDescent="0.45">
      <c r="A1459" s="28">
        <v>7290108357288</v>
      </c>
      <c r="B1459" s="29">
        <v>45838</v>
      </c>
      <c r="C1459">
        <v>4.19183204759499</v>
      </c>
    </row>
    <row r="1460" spans="1:3" x14ac:dyDescent="0.45">
      <c r="A1460" s="28">
        <v>7290108357844</v>
      </c>
      <c r="B1460" s="29">
        <v>45838</v>
      </c>
      <c r="C1460">
        <v>1.95795043874387</v>
      </c>
    </row>
    <row r="1461" spans="1:3" x14ac:dyDescent="0.45">
      <c r="A1461" s="28">
        <v>7290108359077</v>
      </c>
      <c r="B1461" s="29">
        <v>45838</v>
      </c>
      <c r="C1461">
        <v>1.2098983478365499</v>
      </c>
    </row>
    <row r="1462" spans="1:3" x14ac:dyDescent="0.45">
      <c r="A1462" s="28">
        <v>7290108359176</v>
      </c>
      <c r="B1462" s="29">
        <v>45838</v>
      </c>
      <c r="C1462">
        <v>1.2151544318971099</v>
      </c>
    </row>
    <row r="1463" spans="1:3" x14ac:dyDescent="0.45">
      <c r="A1463" s="28">
        <v>7290108359190</v>
      </c>
      <c r="B1463" s="29">
        <v>45838</v>
      </c>
      <c r="C1463">
        <v>1.2130514785267501</v>
      </c>
    </row>
    <row r="1464" spans="1:3" x14ac:dyDescent="0.45">
      <c r="A1464" s="28">
        <v>8001090184375</v>
      </c>
      <c r="B1464" s="29">
        <v>45838</v>
      </c>
      <c r="C1464">
        <v>1.42033292869081</v>
      </c>
    </row>
    <row r="1465" spans="1:3" x14ac:dyDescent="0.45">
      <c r="A1465" s="28">
        <v>8001090184412</v>
      </c>
      <c r="B1465" s="29">
        <v>45838</v>
      </c>
      <c r="C1465">
        <v>4.1544202158170798</v>
      </c>
    </row>
    <row r="1466" spans="1:3" x14ac:dyDescent="0.45">
      <c r="A1466" s="28">
        <v>8001841625362</v>
      </c>
      <c r="B1466" s="29">
        <v>45838</v>
      </c>
      <c r="C1466">
        <v>1.7719170835956799</v>
      </c>
    </row>
    <row r="1467" spans="1:3" x14ac:dyDescent="0.45">
      <c r="A1467" s="28">
        <v>8001841893990</v>
      </c>
      <c r="B1467" s="29">
        <v>45838</v>
      </c>
      <c r="C1467">
        <v>1.2150334158454299</v>
      </c>
    </row>
    <row r="1468" spans="1:3" x14ac:dyDescent="0.45">
      <c r="A1468" s="28">
        <v>8006540429327</v>
      </c>
      <c r="B1468" s="29">
        <v>45838</v>
      </c>
      <c r="C1468">
        <v>4.1541784708175298</v>
      </c>
    </row>
    <row r="1469" spans="1:3" x14ac:dyDescent="0.45">
      <c r="A1469" s="28">
        <v>8700216163811</v>
      </c>
      <c r="B1469" s="29">
        <v>45838</v>
      </c>
      <c r="C1469">
        <v>4.1449574418996704</v>
      </c>
    </row>
    <row r="1470" spans="1:3" x14ac:dyDescent="0.45">
      <c r="A1470" s="28">
        <v>8700216236034</v>
      </c>
      <c r="B1470" s="29">
        <v>45838</v>
      </c>
      <c r="C1470">
        <v>1.4404991827079701</v>
      </c>
    </row>
    <row r="1471" spans="1:3" x14ac:dyDescent="0.45">
      <c r="A1471" s="28">
        <v>8700216236751</v>
      </c>
      <c r="B1471" s="29">
        <v>45838</v>
      </c>
      <c r="C1471">
        <v>1.7579145716903299</v>
      </c>
    </row>
    <row r="1472" spans="1:3" x14ac:dyDescent="0.45">
      <c r="A1472" s="28">
        <v>4084500088917</v>
      </c>
      <c r="B1472" s="29">
        <v>45839</v>
      </c>
      <c r="C1472">
        <v>4.2005430397281902</v>
      </c>
    </row>
    <row r="1473" spans="1:3" x14ac:dyDescent="0.45">
      <c r="A1473" s="28">
        <v>4084500853836</v>
      </c>
      <c r="B1473" s="29">
        <v>45839</v>
      </c>
      <c r="C1473">
        <v>4.19110906717916</v>
      </c>
    </row>
    <row r="1474" spans="1:3" x14ac:dyDescent="0.45">
      <c r="A1474" s="28">
        <v>7290000286921</v>
      </c>
      <c r="B1474" s="29">
        <v>45839</v>
      </c>
      <c r="C1474">
        <v>1.32245141760748</v>
      </c>
    </row>
    <row r="1475" spans="1:3" x14ac:dyDescent="0.45">
      <c r="A1475" s="28">
        <v>7290000288024</v>
      </c>
      <c r="B1475" s="29">
        <v>45839</v>
      </c>
      <c r="C1475">
        <v>4.2299322177998304</v>
      </c>
    </row>
    <row r="1476" spans="1:3" x14ac:dyDescent="0.45">
      <c r="A1476" s="28">
        <v>7290000288307</v>
      </c>
      <c r="B1476" s="29">
        <v>45839</v>
      </c>
      <c r="C1476">
        <v>1.21581453211719</v>
      </c>
    </row>
    <row r="1477" spans="1:3" x14ac:dyDescent="0.45">
      <c r="A1477" s="28">
        <v>7290000288659</v>
      </c>
      <c r="B1477" s="29">
        <v>45839</v>
      </c>
      <c r="C1477">
        <v>1.21378588921742</v>
      </c>
    </row>
    <row r="1478" spans="1:3" x14ac:dyDescent="0.45">
      <c r="A1478" s="28">
        <v>7290000292915</v>
      </c>
      <c r="B1478" s="29">
        <v>45839</v>
      </c>
      <c r="C1478">
        <v>1.9504898689889101</v>
      </c>
    </row>
    <row r="1479" spans="1:3" x14ac:dyDescent="0.45">
      <c r="A1479" s="28">
        <v>7290000294780</v>
      </c>
      <c r="B1479" s="29">
        <v>45839</v>
      </c>
      <c r="C1479">
        <v>4.1795488724362402</v>
      </c>
    </row>
    <row r="1480" spans="1:3" x14ac:dyDescent="0.45">
      <c r="A1480" s="28">
        <v>7290000295367</v>
      </c>
      <c r="B1480" s="29">
        <v>45839</v>
      </c>
      <c r="C1480">
        <v>1.7668677508136399</v>
      </c>
    </row>
    <row r="1481" spans="1:3" x14ac:dyDescent="0.45">
      <c r="A1481" s="28">
        <v>7290000295541</v>
      </c>
      <c r="B1481" s="29">
        <v>45839</v>
      </c>
      <c r="C1481">
        <v>1.21851255968635</v>
      </c>
    </row>
    <row r="1482" spans="1:3" x14ac:dyDescent="0.45">
      <c r="A1482" s="28">
        <v>7290001246610</v>
      </c>
      <c r="B1482" s="29">
        <v>45839</v>
      </c>
      <c r="C1482">
        <v>1.7734305948460101</v>
      </c>
    </row>
    <row r="1483" spans="1:3" x14ac:dyDescent="0.45">
      <c r="A1483" s="28">
        <v>7290005424700</v>
      </c>
      <c r="B1483" s="29">
        <v>45839</v>
      </c>
      <c r="C1483">
        <v>1.9776703530331701</v>
      </c>
    </row>
    <row r="1484" spans="1:3" x14ac:dyDescent="0.45">
      <c r="A1484" s="28">
        <v>7290005425110</v>
      </c>
      <c r="B1484" s="29">
        <v>45839</v>
      </c>
      <c r="C1484">
        <v>1.9040390407955901</v>
      </c>
    </row>
    <row r="1485" spans="1:3" x14ac:dyDescent="0.45">
      <c r="A1485" s="28">
        <v>7290005425196</v>
      </c>
      <c r="B1485" s="29">
        <v>45839</v>
      </c>
      <c r="C1485">
        <v>1.7610651523740299</v>
      </c>
    </row>
    <row r="1486" spans="1:3" x14ac:dyDescent="0.45">
      <c r="A1486" s="28">
        <v>7290012116025</v>
      </c>
      <c r="B1486" s="29">
        <v>45839</v>
      </c>
      <c r="C1486">
        <v>1.9664437397813599</v>
      </c>
    </row>
    <row r="1487" spans="1:3" x14ac:dyDescent="0.45">
      <c r="A1487" s="28">
        <v>7290012117534</v>
      </c>
      <c r="B1487" s="29">
        <v>45839</v>
      </c>
      <c r="C1487">
        <v>1.75882131398357</v>
      </c>
    </row>
    <row r="1488" spans="1:3" x14ac:dyDescent="0.45">
      <c r="A1488" s="28">
        <v>7290013268204</v>
      </c>
      <c r="B1488" s="29">
        <v>45839</v>
      </c>
      <c r="C1488">
        <v>1.2293883823729099</v>
      </c>
    </row>
    <row r="1489" spans="1:3" x14ac:dyDescent="0.45">
      <c r="A1489" s="28">
        <v>7290013268891</v>
      </c>
      <c r="B1489" s="29">
        <v>45839</v>
      </c>
      <c r="C1489">
        <v>1.7760616567918399</v>
      </c>
    </row>
    <row r="1490" spans="1:3" x14ac:dyDescent="0.45">
      <c r="A1490" s="28">
        <v>7290013269003</v>
      </c>
      <c r="B1490" s="29">
        <v>45839</v>
      </c>
      <c r="C1490">
        <v>1.7440432466008899</v>
      </c>
    </row>
    <row r="1491" spans="1:3" x14ac:dyDescent="0.45">
      <c r="A1491" s="28">
        <v>7290014397453</v>
      </c>
      <c r="B1491" s="29">
        <v>45839</v>
      </c>
      <c r="C1491">
        <v>1.77135818512659</v>
      </c>
    </row>
    <row r="1492" spans="1:3" x14ac:dyDescent="0.45">
      <c r="A1492" s="28">
        <v>7290019274483</v>
      </c>
      <c r="B1492" s="29">
        <v>45839</v>
      </c>
      <c r="C1492">
        <v>1.7626200868965001</v>
      </c>
    </row>
    <row r="1493" spans="1:3" x14ac:dyDescent="0.45">
      <c r="A1493" s="28">
        <v>7290019274490</v>
      </c>
      <c r="B1493" s="29">
        <v>45839</v>
      </c>
      <c r="C1493">
        <v>1.7518229228368201</v>
      </c>
    </row>
    <row r="1494" spans="1:3" x14ac:dyDescent="0.45">
      <c r="A1494" s="28">
        <v>7290019611325</v>
      </c>
      <c r="B1494" s="29">
        <v>45839</v>
      </c>
      <c r="C1494">
        <v>1.74307596287453</v>
      </c>
    </row>
    <row r="1495" spans="1:3" x14ac:dyDescent="0.45">
      <c r="A1495" s="28">
        <v>7290103702489</v>
      </c>
      <c r="B1495" s="29">
        <v>45839</v>
      </c>
      <c r="C1495">
        <v>4.1885631725278403</v>
      </c>
    </row>
    <row r="1496" spans="1:3" x14ac:dyDescent="0.45">
      <c r="A1496" s="28">
        <v>7290103703370</v>
      </c>
      <c r="B1496" s="29">
        <v>45839</v>
      </c>
      <c r="C1496">
        <v>4.2064366290760704</v>
      </c>
    </row>
    <row r="1497" spans="1:3" x14ac:dyDescent="0.45">
      <c r="A1497" s="28">
        <v>7290103704155</v>
      </c>
      <c r="B1497" s="29">
        <v>45839</v>
      </c>
      <c r="C1497">
        <v>4.1778722472194803</v>
      </c>
    </row>
    <row r="1498" spans="1:3" x14ac:dyDescent="0.45">
      <c r="A1498" s="28">
        <v>7290103704179</v>
      </c>
      <c r="B1498" s="29">
        <v>45839</v>
      </c>
      <c r="C1498">
        <v>4.2079251410531704</v>
      </c>
    </row>
    <row r="1499" spans="1:3" x14ac:dyDescent="0.45">
      <c r="A1499" s="28">
        <v>7290103704919</v>
      </c>
      <c r="B1499" s="29">
        <v>45839</v>
      </c>
      <c r="C1499">
        <v>4.1774663754573904</v>
      </c>
    </row>
    <row r="1500" spans="1:3" x14ac:dyDescent="0.45">
      <c r="A1500" s="28">
        <v>7290107280099</v>
      </c>
      <c r="B1500" s="29">
        <v>45839</v>
      </c>
      <c r="C1500">
        <v>1.2250064376612599</v>
      </c>
    </row>
    <row r="1501" spans="1:3" x14ac:dyDescent="0.45">
      <c r="A1501" s="28">
        <v>7290108351699</v>
      </c>
      <c r="B1501" s="29">
        <v>45839</v>
      </c>
      <c r="C1501">
        <v>1.97116295675054</v>
      </c>
    </row>
    <row r="1502" spans="1:3" x14ac:dyDescent="0.45">
      <c r="A1502" s="28">
        <v>7290108352702</v>
      </c>
      <c r="B1502" s="29">
        <v>45839</v>
      </c>
      <c r="C1502">
        <v>1.2089688741281599</v>
      </c>
    </row>
    <row r="1503" spans="1:3" x14ac:dyDescent="0.45">
      <c r="A1503" s="28">
        <v>7290108356298</v>
      </c>
      <c r="B1503" s="29">
        <v>45839</v>
      </c>
      <c r="C1503">
        <v>1.9436323437873599</v>
      </c>
    </row>
    <row r="1504" spans="1:3" x14ac:dyDescent="0.45">
      <c r="A1504" s="28">
        <v>7290108356700</v>
      </c>
      <c r="B1504" s="29">
        <v>45839</v>
      </c>
      <c r="C1504">
        <v>1.21813370837487</v>
      </c>
    </row>
    <row r="1505" spans="1:3" x14ac:dyDescent="0.45">
      <c r="A1505" s="28">
        <v>7290108356717</v>
      </c>
      <c r="B1505" s="29">
        <v>45839</v>
      </c>
      <c r="C1505">
        <v>1.92910692758131</v>
      </c>
    </row>
    <row r="1506" spans="1:3" x14ac:dyDescent="0.45">
      <c r="A1506" s="28">
        <v>7290108356724</v>
      </c>
      <c r="B1506" s="29">
        <v>45839</v>
      </c>
      <c r="C1506">
        <v>1.9325439463259</v>
      </c>
    </row>
    <row r="1507" spans="1:3" x14ac:dyDescent="0.45">
      <c r="A1507" s="28">
        <v>7290108357240</v>
      </c>
      <c r="B1507" s="29">
        <v>45839</v>
      </c>
      <c r="C1507">
        <v>1.7640132493893299</v>
      </c>
    </row>
    <row r="1508" spans="1:3" x14ac:dyDescent="0.45">
      <c r="A1508" s="28">
        <v>7290108357288</v>
      </c>
      <c r="B1508" s="29">
        <v>45839</v>
      </c>
      <c r="C1508">
        <v>4.19183204759499</v>
      </c>
    </row>
    <row r="1509" spans="1:3" x14ac:dyDescent="0.45">
      <c r="A1509" s="28">
        <v>7290108357844</v>
      </c>
      <c r="B1509" s="29">
        <v>45839</v>
      </c>
      <c r="C1509">
        <v>1.95795043874387</v>
      </c>
    </row>
    <row r="1510" spans="1:3" x14ac:dyDescent="0.45">
      <c r="A1510" s="28">
        <v>7290108359077</v>
      </c>
      <c r="B1510" s="29">
        <v>45839</v>
      </c>
      <c r="C1510">
        <v>1.2098983478365499</v>
      </c>
    </row>
    <row r="1511" spans="1:3" x14ac:dyDescent="0.45">
      <c r="A1511" s="28">
        <v>7290108359176</v>
      </c>
      <c r="B1511" s="29">
        <v>45839</v>
      </c>
      <c r="C1511">
        <v>1.2151544318971099</v>
      </c>
    </row>
    <row r="1512" spans="1:3" x14ac:dyDescent="0.45">
      <c r="A1512" s="28">
        <v>7290108359190</v>
      </c>
      <c r="B1512" s="29">
        <v>45839</v>
      </c>
      <c r="C1512">
        <v>1.2130514785267501</v>
      </c>
    </row>
    <row r="1513" spans="1:3" x14ac:dyDescent="0.45">
      <c r="A1513" s="28">
        <v>8001090184375</v>
      </c>
      <c r="B1513" s="29">
        <v>45839</v>
      </c>
      <c r="C1513">
        <v>1.42033292869081</v>
      </c>
    </row>
    <row r="1514" spans="1:3" x14ac:dyDescent="0.45">
      <c r="A1514" s="28">
        <v>8001090184412</v>
      </c>
      <c r="B1514" s="29">
        <v>45839</v>
      </c>
      <c r="C1514">
        <v>4.1544202158170798</v>
      </c>
    </row>
    <row r="1515" spans="1:3" x14ac:dyDescent="0.45">
      <c r="A1515" s="28">
        <v>8001841625362</v>
      </c>
      <c r="B1515" s="29">
        <v>45839</v>
      </c>
      <c r="C1515">
        <v>1.7719170835956799</v>
      </c>
    </row>
    <row r="1516" spans="1:3" x14ac:dyDescent="0.45">
      <c r="A1516" s="28">
        <v>8001841893990</v>
      </c>
      <c r="B1516" s="29">
        <v>45839</v>
      </c>
      <c r="C1516">
        <v>1.2150334158454299</v>
      </c>
    </row>
    <row r="1517" spans="1:3" x14ac:dyDescent="0.45">
      <c r="A1517" s="28">
        <v>8006540429327</v>
      </c>
      <c r="B1517" s="29">
        <v>45839</v>
      </c>
      <c r="C1517">
        <v>4.1541784708175298</v>
      </c>
    </row>
    <row r="1518" spans="1:3" x14ac:dyDescent="0.45">
      <c r="A1518" s="28">
        <v>8700216163811</v>
      </c>
      <c r="B1518" s="29">
        <v>45839</v>
      </c>
      <c r="C1518">
        <v>4.1449574418996704</v>
      </c>
    </row>
    <row r="1519" spans="1:3" x14ac:dyDescent="0.45">
      <c r="A1519" s="28">
        <v>8700216236034</v>
      </c>
      <c r="B1519" s="29">
        <v>45839</v>
      </c>
      <c r="C1519">
        <v>1.4404991827079701</v>
      </c>
    </row>
    <row r="1520" spans="1:3" x14ac:dyDescent="0.45">
      <c r="A1520" s="28">
        <v>8700216236751</v>
      </c>
      <c r="B1520" s="29">
        <v>45839</v>
      </c>
      <c r="C1520">
        <v>1.7579145716903299</v>
      </c>
    </row>
    <row r="1521" spans="1:3" x14ac:dyDescent="0.45">
      <c r="A1521" s="28">
        <v>4084500088917</v>
      </c>
      <c r="B1521" s="29">
        <v>45840</v>
      </c>
      <c r="C1521">
        <v>4.2005430397281902</v>
      </c>
    </row>
    <row r="1522" spans="1:3" x14ac:dyDescent="0.45">
      <c r="A1522" s="28">
        <v>4084500853836</v>
      </c>
      <c r="B1522" s="29">
        <v>45840</v>
      </c>
      <c r="C1522">
        <v>4.19110906717916</v>
      </c>
    </row>
    <row r="1523" spans="1:3" x14ac:dyDescent="0.45">
      <c r="A1523" s="28">
        <v>7290000286921</v>
      </c>
      <c r="B1523" s="29">
        <v>45840</v>
      </c>
      <c r="C1523">
        <v>1.32245141760748</v>
      </c>
    </row>
    <row r="1524" spans="1:3" x14ac:dyDescent="0.45">
      <c r="A1524" s="28">
        <v>7290000288024</v>
      </c>
      <c r="B1524" s="29">
        <v>45840</v>
      </c>
      <c r="C1524">
        <v>4.2299322177998304</v>
      </c>
    </row>
    <row r="1525" spans="1:3" x14ac:dyDescent="0.45">
      <c r="A1525" s="28">
        <v>7290000288307</v>
      </c>
      <c r="B1525" s="29">
        <v>45840</v>
      </c>
      <c r="C1525">
        <v>1.21581453211719</v>
      </c>
    </row>
    <row r="1526" spans="1:3" x14ac:dyDescent="0.45">
      <c r="A1526" s="28">
        <v>7290000288659</v>
      </c>
      <c r="B1526" s="29">
        <v>45840</v>
      </c>
      <c r="C1526">
        <v>1.21378588921742</v>
      </c>
    </row>
    <row r="1527" spans="1:3" x14ac:dyDescent="0.45">
      <c r="A1527" s="28">
        <v>7290000292915</v>
      </c>
      <c r="B1527" s="29">
        <v>45840</v>
      </c>
      <c r="C1527">
        <v>1.9504898689889101</v>
      </c>
    </row>
    <row r="1528" spans="1:3" x14ac:dyDescent="0.45">
      <c r="A1528" s="28">
        <v>7290000294780</v>
      </c>
      <c r="B1528" s="29">
        <v>45840</v>
      </c>
      <c r="C1528">
        <v>4.1795488724362402</v>
      </c>
    </row>
    <row r="1529" spans="1:3" x14ac:dyDescent="0.45">
      <c r="A1529" s="28">
        <v>7290000295367</v>
      </c>
      <c r="B1529" s="29">
        <v>45840</v>
      </c>
      <c r="C1529">
        <v>1.7668677508136399</v>
      </c>
    </row>
    <row r="1530" spans="1:3" x14ac:dyDescent="0.45">
      <c r="A1530" s="28">
        <v>7290000295541</v>
      </c>
      <c r="B1530" s="29">
        <v>45840</v>
      </c>
      <c r="C1530">
        <v>1.21851255968635</v>
      </c>
    </row>
    <row r="1531" spans="1:3" x14ac:dyDescent="0.45">
      <c r="A1531" s="28">
        <v>7290001246610</v>
      </c>
      <c r="B1531" s="29">
        <v>45840</v>
      </c>
      <c r="C1531">
        <v>1.7734305948460101</v>
      </c>
    </row>
    <row r="1532" spans="1:3" x14ac:dyDescent="0.45">
      <c r="A1532" s="28">
        <v>7290005424700</v>
      </c>
      <c r="B1532" s="29">
        <v>45840</v>
      </c>
      <c r="C1532">
        <v>1.9776703530331701</v>
      </c>
    </row>
    <row r="1533" spans="1:3" x14ac:dyDescent="0.45">
      <c r="A1533" s="28">
        <v>7290005425110</v>
      </c>
      <c r="B1533" s="29">
        <v>45840</v>
      </c>
      <c r="C1533">
        <v>1.9040390407955901</v>
      </c>
    </row>
    <row r="1534" spans="1:3" x14ac:dyDescent="0.45">
      <c r="A1534" s="28">
        <v>7290005425196</v>
      </c>
      <c r="B1534" s="29">
        <v>45840</v>
      </c>
      <c r="C1534">
        <v>1.7610651523740299</v>
      </c>
    </row>
    <row r="1535" spans="1:3" x14ac:dyDescent="0.45">
      <c r="A1535" s="28">
        <v>7290012116025</v>
      </c>
      <c r="B1535" s="29">
        <v>45840</v>
      </c>
      <c r="C1535">
        <v>1.9664437397813599</v>
      </c>
    </row>
    <row r="1536" spans="1:3" x14ac:dyDescent="0.45">
      <c r="A1536" s="28">
        <v>7290012117534</v>
      </c>
      <c r="B1536" s="29">
        <v>45840</v>
      </c>
      <c r="C1536">
        <v>1.75882131398357</v>
      </c>
    </row>
    <row r="1537" spans="1:3" x14ac:dyDescent="0.45">
      <c r="A1537" s="28">
        <v>7290013268204</v>
      </c>
      <c r="B1537" s="29">
        <v>45840</v>
      </c>
      <c r="C1537">
        <v>1.2293883823729099</v>
      </c>
    </row>
    <row r="1538" spans="1:3" x14ac:dyDescent="0.45">
      <c r="A1538" s="28">
        <v>7290013268891</v>
      </c>
      <c r="B1538" s="29">
        <v>45840</v>
      </c>
      <c r="C1538">
        <v>1.7760616567918399</v>
      </c>
    </row>
    <row r="1539" spans="1:3" x14ac:dyDescent="0.45">
      <c r="A1539" s="28">
        <v>7290013269003</v>
      </c>
      <c r="B1539" s="29">
        <v>45840</v>
      </c>
      <c r="C1539">
        <v>1.7440432466008899</v>
      </c>
    </row>
    <row r="1540" spans="1:3" x14ac:dyDescent="0.45">
      <c r="A1540" s="28">
        <v>7290014397453</v>
      </c>
      <c r="B1540" s="29">
        <v>45840</v>
      </c>
      <c r="C1540">
        <v>1.77135818512659</v>
      </c>
    </row>
    <row r="1541" spans="1:3" x14ac:dyDescent="0.45">
      <c r="A1541" s="28">
        <v>7290019274483</v>
      </c>
      <c r="B1541" s="29">
        <v>45840</v>
      </c>
      <c r="C1541">
        <v>1.7626200868965001</v>
      </c>
    </row>
    <row r="1542" spans="1:3" x14ac:dyDescent="0.45">
      <c r="A1542" s="28">
        <v>7290019274490</v>
      </c>
      <c r="B1542" s="29">
        <v>45840</v>
      </c>
      <c r="C1542">
        <v>1.7518229228368201</v>
      </c>
    </row>
    <row r="1543" spans="1:3" x14ac:dyDescent="0.45">
      <c r="A1543" s="28">
        <v>7290019611325</v>
      </c>
      <c r="B1543" s="29">
        <v>45840</v>
      </c>
      <c r="C1543">
        <v>1.74307596287453</v>
      </c>
    </row>
    <row r="1544" spans="1:3" x14ac:dyDescent="0.45">
      <c r="A1544" s="28">
        <v>7290103702489</v>
      </c>
      <c r="B1544" s="29">
        <v>45840</v>
      </c>
      <c r="C1544">
        <v>4.1885631725278403</v>
      </c>
    </row>
    <row r="1545" spans="1:3" x14ac:dyDescent="0.45">
      <c r="A1545" s="28">
        <v>7290103703370</v>
      </c>
      <c r="B1545" s="29">
        <v>45840</v>
      </c>
      <c r="C1545">
        <v>4.2064366290760704</v>
      </c>
    </row>
    <row r="1546" spans="1:3" x14ac:dyDescent="0.45">
      <c r="A1546" s="28">
        <v>7290103704155</v>
      </c>
      <c r="B1546" s="29">
        <v>45840</v>
      </c>
      <c r="C1546">
        <v>4.1778722472194803</v>
      </c>
    </row>
    <row r="1547" spans="1:3" x14ac:dyDescent="0.45">
      <c r="A1547" s="28">
        <v>7290103704179</v>
      </c>
      <c r="B1547" s="29">
        <v>45840</v>
      </c>
      <c r="C1547">
        <v>4.2079251410531704</v>
      </c>
    </row>
    <row r="1548" spans="1:3" x14ac:dyDescent="0.45">
      <c r="A1548" s="28">
        <v>7290103704919</v>
      </c>
      <c r="B1548" s="29">
        <v>45840</v>
      </c>
      <c r="C1548">
        <v>4.1774663754573904</v>
      </c>
    </row>
    <row r="1549" spans="1:3" x14ac:dyDescent="0.45">
      <c r="A1549" s="28">
        <v>7290107280099</v>
      </c>
      <c r="B1549" s="29">
        <v>45840</v>
      </c>
      <c r="C1549">
        <v>1.2250064376612599</v>
      </c>
    </row>
    <row r="1550" spans="1:3" x14ac:dyDescent="0.45">
      <c r="A1550" s="28">
        <v>7290108351699</v>
      </c>
      <c r="B1550" s="29">
        <v>45840</v>
      </c>
      <c r="C1550">
        <v>1.97116295675054</v>
      </c>
    </row>
    <row r="1551" spans="1:3" x14ac:dyDescent="0.45">
      <c r="A1551" s="28">
        <v>7290108352702</v>
      </c>
      <c r="B1551" s="29">
        <v>45840</v>
      </c>
      <c r="C1551">
        <v>1.2089688741281599</v>
      </c>
    </row>
    <row r="1552" spans="1:3" x14ac:dyDescent="0.45">
      <c r="A1552" s="28">
        <v>7290108356298</v>
      </c>
      <c r="B1552" s="29">
        <v>45840</v>
      </c>
      <c r="C1552">
        <v>1.9436323437873599</v>
      </c>
    </row>
    <row r="1553" spans="1:3" x14ac:dyDescent="0.45">
      <c r="A1553" s="28">
        <v>7290108356700</v>
      </c>
      <c r="B1553" s="29">
        <v>45840</v>
      </c>
      <c r="C1553">
        <v>1.21813370837487</v>
      </c>
    </row>
    <row r="1554" spans="1:3" x14ac:dyDescent="0.45">
      <c r="A1554" s="28">
        <v>7290108356717</v>
      </c>
      <c r="B1554" s="29">
        <v>45840</v>
      </c>
      <c r="C1554">
        <v>1.92910692758131</v>
      </c>
    </row>
    <row r="1555" spans="1:3" x14ac:dyDescent="0.45">
      <c r="A1555" s="28">
        <v>7290108356724</v>
      </c>
      <c r="B1555" s="29">
        <v>45840</v>
      </c>
      <c r="C1555">
        <v>1.9325439463259</v>
      </c>
    </row>
    <row r="1556" spans="1:3" x14ac:dyDescent="0.45">
      <c r="A1556" s="28">
        <v>7290108357240</v>
      </c>
      <c r="B1556" s="29">
        <v>45840</v>
      </c>
      <c r="C1556">
        <v>1.7640132493893299</v>
      </c>
    </row>
    <row r="1557" spans="1:3" x14ac:dyDescent="0.45">
      <c r="A1557" s="28">
        <v>7290108357288</v>
      </c>
      <c r="B1557" s="29">
        <v>45840</v>
      </c>
      <c r="C1557">
        <v>4.19183204759499</v>
      </c>
    </row>
    <row r="1558" spans="1:3" x14ac:dyDescent="0.45">
      <c r="A1558" s="28">
        <v>7290108357844</v>
      </c>
      <c r="B1558" s="29">
        <v>45840</v>
      </c>
      <c r="C1558">
        <v>1.95795043874387</v>
      </c>
    </row>
    <row r="1559" spans="1:3" x14ac:dyDescent="0.45">
      <c r="A1559" s="28">
        <v>7290108359077</v>
      </c>
      <c r="B1559" s="29">
        <v>45840</v>
      </c>
      <c r="C1559">
        <v>1.2098983478365499</v>
      </c>
    </row>
    <row r="1560" spans="1:3" x14ac:dyDescent="0.45">
      <c r="A1560" s="28">
        <v>7290108359176</v>
      </c>
      <c r="B1560" s="29">
        <v>45840</v>
      </c>
      <c r="C1560">
        <v>1.2151544318971099</v>
      </c>
    </row>
    <row r="1561" spans="1:3" x14ac:dyDescent="0.45">
      <c r="A1561" s="28">
        <v>7290108359190</v>
      </c>
      <c r="B1561" s="29">
        <v>45840</v>
      </c>
      <c r="C1561">
        <v>1.2130514785267501</v>
      </c>
    </row>
    <row r="1562" spans="1:3" x14ac:dyDescent="0.45">
      <c r="A1562" s="28">
        <v>8001090184375</v>
      </c>
      <c r="B1562" s="29">
        <v>45840</v>
      </c>
      <c r="C1562">
        <v>1.42033292869081</v>
      </c>
    </row>
    <row r="1563" spans="1:3" x14ac:dyDescent="0.45">
      <c r="A1563" s="28">
        <v>8001090184412</v>
      </c>
      <c r="B1563" s="29">
        <v>45840</v>
      </c>
      <c r="C1563">
        <v>4.1544202158170798</v>
      </c>
    </row>
    <row r="1564" spans="1:3" x14ac:dyDescent="0.45">
      <c r="A1564" s="28">
        <v>8001841625362</v>
      </c>
      <c r="B1564" s="29">
        <v>45840</v>
      </c>
      <c r="C1564">
        <v>1.7719170835956799</v>
      </c>
    </row>
    <row r="1565" spans="1:3" x14ac:dyDescent="0.45">
      <c r="A1565" s="28">
        <v>8001841893990</v>
      </c>
      <c r="B1565" s="29">
        <v>45840</v>
      </c>
      <c r="C1565">
        <v>1.2150334158454299</v>
      </c>
    </row>
    <row r="1566" spans="1:3" x14ac:dyDescent="0.45">
      <c r="A1566" s="28">
        <v>8006540429327</v>
      </c>
      <c r="B1566" s="29">
        <v>45840</v>
      </c>
      <c r="C1566">
        <v>4.1541784708175298</v>
      </c>
    </row>
    <row r="1567" spans="1:3" x14ac:dyDescent="0.45">
      <c r="A1567" s="28">
        <v>8700216163811</v>
      </c>
      <c r="B1567" s="29">
        <v>45840</v>
      </c>
      <c r="C1567">
        <v>4.1449574418996704</v>
      </c>
    </row>
    <row r="1568" spans="1:3" x14ac:dyDescent="0.45">
      <c r="A1568" s="28">
        <v>8700216236034</v>
      </c>
      <c r="B1568" s="29">
        <v>45840</v>
      </c>
      <c r="C1568">
        <v>1.4404991827079701</v>
      </c>
    </row>
    <row r="1569" spans="1:3" x14ac:dyDescent="0.45">
      <c r="A1569" s="28">
        <v>8700216236751</v>
      </c>
      <c r="B1569" s="29">
        <v>45840</v>
      </c>
      <c r="C1569">
        <v>1.7579145716903299</v>
      </c>
    </row>
    <row r="1570" spans="1:3" x14ac:dyDescent="0.45">
      <c r="A1570" s="28">
        <v>4084500088917</v>
      </c>
      <c r="B1570" s="29">
        <v>45841</v>
      </c>
      <c r="C1570">
        <v>4.2005430397281902</v>
      </c>
    </row>
    <row r="1571" spans="1:3" x14ac:dyDescent="0.45">
      <c r="A1571" s="28">
        <v>4084500853836</v>
      </c>
      <c r="B1571" s="29">
        <v>45841</v>
      </c>
      <c r="C1571">
        <v>4.19110906717916</v>
      </c>
    </row>
    <row r="1572" spans="1:3" x14ac:dyDescent="0.45">
      <c r="A1572" s="28">
        <v>7290000286921</v>
      </c>
      <c r="B1572" s="29">
        <v>45841</v>
      </c>
      <c r="C1572">
        <v>1.32245141760748</v>
      </c>
    </row>
    <row r="1573" spans="1:3" x14ac:dyDescent="0.45">
      <c r="A1573" s="28">
        <v>7290000288024</v>
      </c>
      <c r="B1573" s="29">
        <v>45841</v>
      </c>
      <c r="C1573">
        <v>4.2299322177998304</v>
      </c>
    </row>
    <row r="1574" spans="1:3" x14ac:dyDescent="0.45">
      <c r="A1574" s="28">
        <v>7290000288307</v>
      </c>
      <c r="B1574" s="29">
        <v>45841</v>
      </c>
      <c r="C1574">
        <v>1.21581453211719</v>
      </c>
    </row>
    <row r="1575" spans="1:3" x14ac:dyDescent="0.45">
      <c r="A1575" s="28">
        <v>7290000288659</v>
      </c>
      <c r="B1575" s="29">
        <v>45841</v>
      </c>
      <c r="C1575">
        <v>1.21378588921742</v>
      </c>
    </row>
    <row r="1576" spans="1:3" x14ac:dyDescent="0.45">
      <c r="A1576" s="28">
        <v>7290000292915</v>
      </c>
      <c r="B1576" s="29">
        <v>45841</v>
      </c>
      <c r="C1576">
        <v>1.9504898689889101</v>
      </c>
    </row>
    <row r="1577" spans="1:3" x14ac:dyDescent="0.45">
      <c r="A1577" s="28">
        <v>7290000294780</v>
      </c>
      <c r="B1577" s="29">
        <v>45841</v>
      </c>
      <c r="C1577">
        <v>4.1795488724362402</v>
      </c>
    </row>
    <row r="1578" spans="1:3" x14ac:dyDescent="0.45">
      <c r="A1578" s="28">
        <v>7290000295367</v>
      </c>
      <c r="B1578" s="29">
        <v>45841</v>
      </c>
      <c r="C1578">
        <v>1.7668677508136399</v>
      </c>
    </row>
    <row r="1579" spans="1:3" x14ac:dyDescent="0.45">
      <c r="A1579" s="28">
        <v>7290000295541</v>
      </c>
      <c r="B1579" s="29">
        <v>45841</v>
      </c>
      <c r="C1579">
        <v>1.21851255968635</v>
      </c>
    </row>
    <row r="1580" spans="1:3" x14ac:dyDescent="0.45">
      <c r="A1580" s="28">
        <v>7290001246610</v>
      </c>
      <c r="B1580" s="29">
        <v>45841</v>
      </c>
      <c r="C1580">
        <v>1.7734305948460101</v>
      </c>
    </row>
    <row r="1581" spans="1:3" x14ac:dyDescent="0.45">
      <c r="A1581" s="28">
        <v>7290005424700</v>
      </c>
      <c r="B1581" s="29">
        <v>45841</v>
      </c>
      <c r="C1581">
        <v>1.9776703530331701</v>
      </c>
    </row>
    <row r="1582" spans="1:3" x14ac:dyDescent="0.45">
      <c r="A1582" s="28">
        <v>7290005425110</v>
      </c>
      <c r="B1582" s="29">
        <v>45841</v>
      </c>
      <c r="C1582">
        <v>1.9040390407955901</v>
      </c>
    </row>
    <row r="1583" spans="1:3" x14ac:dyDescent="0.45">
      <c r="A1583" s="28">
        <v>7290005425196</v>
      </c>
      <c r="B1583" s="29">
        <v>45841</v>
      </c>
      <c r="C1583">
        <v>1.7610651523740299</v>
      </c>
    </row>
    <row r="1584" spans="1:3" x14ac:dyDescent="0.45">
      <c r="A1584" s="28">
        <v>7290012116025</v>
      </c>
      <c r="B1584" s="29">
        <v>45841</v>
      </c>
      <c r="C1584">
        <v>1.9664437397813599</v>
      </c>
    </row>
    <row r="1585" spans="1:3" x14ac:dyDescent="0.45">
      <c r="A1585" s="28">
        <v>7290012117534</v>
      </c>
      <c r="B1585" s="29">
        <v>45841</v>
      </c>
      <c r="C1585">
        <v>1.75882131398357</v>
      </c>
    </row>
    <row r="1586" spans="1:3" x14ac:dyDescent="0.45">
      <c r="A1586" s="28">
        <v>7290013268204</v>
      </c>
      <c r="B1586" s="29">
        <v>45841</v>
      </c>
      <c r="C1586">
        <v>1.2293883823729099</v>
      </c>
    </row>
    <row r="1587" spans="1:3" x14ac:dyDescent="0.45">
      <c r="A1587" s="28">
        <v>7290013268891</v>
      </c>
      <c r="B1587" s="29">
        <v>45841</v>
      </c>
      <c r="C1587">
        <v>1.7760616567918399</v>
      </c>
    </row>
    <row r="1588" spans="1:3" x14ac:dyDescent="0.45">
      <c r="A1588" s="28">
        <v>7290013269003</v>
      </c>
      <c r="B1588" s="29">
        <v>45841</v>
      </c>
      <c r="C1588">
        <v>1.7440432466008899</v>
      </c>
    </row>
    <row r="1589" spans="1:3" x14ac:dyDescent="0.45">
      <c r="A1589" s="28">
        <v>7290014397453</v>
      </c>
      <c r="B1589" s="29">
        <v>45841</v>
      </c>
      <c r="C1589">
        <v>1.77135818512659</v>
      </c>
    </row>
    <row r="1590" spans="1:3" x14ac:dyDescent="0.45">
      <c r="A1590" s="28">
        <v>7290019274483</v>
      </c>
      <c r="B1590" s="29">
        <v>45841</v>
      </c>
      <c r="C1590">
        <v>1.7626200868965001</v>
      </c>
    </row>
    <row r="1591" spans="1:3" x14ac:dyDescent="0.45">
      <c r="A1591" s="28">
        <v>7290019274490</v>
      </c>
      <c r="B1591" s="29">
        <v>45841</v>
      </c>
      <c r="C1591">
        <v>1.7518229228368201</v>
      </c>
    </row>
    <row r="1592" spans="1:3" x14ac:dyDescent="0.45">
      <c r="A1592" s="28">
        <v>7290019611325</v>
      </c>
      <c r="B1592" s="29">
        <v>45841</v>
      </c>
      <c r="C1592">
        <v>1.74307596287453</v>
      </c>
    </row>
    <row r="1593" spans="1:3" x14ac:dyDescent="0.45">
      <c r="A1593" s="28">
        <v>7290103702489</v>
      </c>
      <c r="B1593" s="29">
        <v>45841</v>
      </c>
      <c r="C1593">
        <v>4.1885631725278403</v>
      </c>
    </row>
    <row r="1594" spans="1:3" x14ac:dyDescent="0.45">
      <c r="A1594" s="28">
        <v>7290103703370</v>
      </c>
      <c r="B1594" s="29">
        <v>45841</v>
      </c>
      <c r="C1594">
        <v>4.2064366290760704</v>
      </c>
    </row>
    <row r="1595" spans="1:3" x14ac:dyDescent="0.45">
      <c r="A1595" s="28">
        <v>7290103704155</v>
      </c>
      <c r="B1595" s="29">
        <v>45841</v>
      </c>
      <c r="C1595">
        <v>4.1778722472194803</v>
      </c>
    </row>
    <row r="1596" spans="1:3" x14ac:dyDescent="0.45">
      <c r="A1596" s="28">
        <v>7290103704179</v>
      </c>
      <c r="B1596" s="29">
        <v>45841</v>
      </c>
      <c r="C1596">
        <v>4.2079251410531704</v>
      </c>
    </row>
    <row r="1597" spans="1:3" x14ac:dyDescent="0.45">
      <c r="A1597" s="28">
        <v>7290103704919</v>
      </c>
      <c r="B1597" s="29">
        <v>45841</v>
      </c>
      <c r="C1597">
        <v>4.1774663754573904</v>
      </c>
    </row>
    <row r="1598" spans="1:3" x14ac:dyDescent="0.45">
      <c r="A1598" s="28">
        <v>7290107280099</v>
      </c>
      <c r="B1598" s="29">
        <v>45841</v>
      </c>
      <c r="C1598">
        <v>1.2250064376612599</v>
      </c>
    </row>
    <row r="1599" spans="1:3" x14ac:dyDescent="0.45">
      <c r="A1599" s="28">
        <v>7290108351699</v>
      </c>
      <c r="B1599" s="29">
        <v>45841</v>
      </c>
      <c r="C1599">
        <v>1.97116295675054</v>
      </c>
    </row>
    <row r="1600" spans="1:3" x14ac:dyDescent="0.45">
      <c r="A1600" s="28">
        <v>7290108352702</v>
      </c>
      <c r="B1600" s="29">
        <v>45841</v>
      </c>
      <c r="C1600">
        <v>1.2089688741281599</v>
      </c>
    </row>
    <row r="1601" spans="1:3" x14ac:dyDescent="0.45">
      <c r="A1601" s="28">
        <v>7290108356298</v>
      </c>
      <c r="B1601" s="29">
        <v>45841</v>
      </c>
      <c r="C1601">
        <v>1.9436323437873599</v>
      </c>
    </row>
    <row r="1602" spans="1:3" x14ac:dyDescent="0.45">
      <c r="A1602" s="28">
        <v>7290108356700</v>
      </c>
      <c r="B1602" s="29">
        <v>45841</v>
      </c>
      <c r="C1602">
        <v>1.21813370837487</v>
      </c>
    </row>
    <row r="1603" spans="1:3" x14ac:dyDescent="0.45">
      <c r="A1603" s="28">
        <v>7290108356717</v>
      </c>
      <c r="B1603" s="29">
        <v>45841</v>
      </c>
      <c r="C1603">
        <v>1.92910692758131</v>
      </c>
    </row>
    <row r="1604" spans="1:3" x14ac:dyDescent="0.45">
      <c r="A1604" s="28">
        <v>7290108356724</v>
      </c>
      <c r="B1604" s="29">
        <v>45841</v>
      </c>
      <c r="C1604">
        <v>1.9325439463259</v>
      </c>
    </row>
    <row r="1605" spans="1:3" x14ac:dyDescent="0.45">
      <c r="A1605" s="28">
        <v>7290108357240</v>
      </c>
      <c r="B1605" s="29">
        <v>45841</v>
      </c>
      <c r="C1605">
        <v>1.7640132493893299</v>
      </c>
    </row>
    <row r="1606" spans="1:3" x14ac:dyDescent="0.45">
      <c r="A1606" s="28">
        <v>7290108357288</v>
      </c>
      <c r="B1606" s="29">
        <v>45841</v>
      </c>
      <c r="C1606">
        <v>4.19183204759499</v>
      </c>
    </row>
    <row r="1607" spans="1:3" x14ac:dyDescent="0.45">
      <c r="A1607" s="28">
        <v>7290108357844</v>
      </c>
      <c r="B1607" s="29">
        <v>45841</v>
      </c>
      <c r="C1607">
        <v>1.95795043874387</v>
      </c>
    </row>
    <row r="1608" spans="1:3" x14ac:dyDescent="0.45">
      <c r="A1608" s="28">
        <v>7290108359077</v>
      </c>
      <c r="B1608" s="29">
        <v>45841</v>
      </c>
      <c r="C1608">
        <v>1.2098983478365499</v>
      </c>
    </row>
    <row r="1609" spans="1:3" x14ac:dyDescent="0.45">
      <c r="A1609" s="28">
        <v>7290108359176</v>
      </c>
      <c r="B1609" s="29">
        <v>45841</v>
      </c>
      <c r="C1609">
        <v>1.2151544318971099</v>
      </c>
    </row>
    <row r="1610" spans="1:3" x14ac:dyDescent="0.45">
      <c r="A1610" s="28">
        <v>7290108359190</v>
      </c>
      <c r="B1610" s="29">
        <v>45841</v>
      </c>
      <c r="C1610">
        <v>1.2130514785267501</v>
      </c>
    </row>
    <row r="1611" spans="1:3" x14ac:dyDescent="0.45">
      <c r="A1611" s="28">
        <v>8001090184375</v>
      </c>
      <c r="B1611" s="29">
        <v>45841</v>
      </c>
      <c r="C1611">
        <v>1.42033292869081</v>
      </c>
    </row>
    <row r="1612" spans="1:3" x14ac:dyDescent="0.45">
      <c r="A1612" s="28">
        <v>8001090184412</v>
      </c>
      <c r="B1612" s="29">
        <v>45841</v>
      </c>
      <c r="C1612">
        <v>4.1544202158170798</v>
      </c>
    </row>
    <row r="1613" spans="1:3" x14ac:dyDescent="0.45">
      <c r="A1613" s="28">
        <v>8001841625362</v>
      </c>
      <c r="B1613" s="29">
        <v>45841</v>
      </c>
      <c r="C1613">
        <v>1.7719170835956799</v>
      </c>
    </row>
    <row r="1614" spans="1:3" x14ac:dyDescent="0.45">
      <c r="A1614" s="28">
        <v>8001841893990</v>
      </c>
      <c r="B1614" s="29">
        <v>45841</v>
      </c>
      <c r="C1614">
        <v>1.2150334158454299</v>
      </c>
    </row>
    <row r="1615" spans="1:3" x14ac:dyDescent="0.45">
      <c r="A1615" s="28">
        <v>8006540429327</v>
      </c>
      <c r="B1615" s="29">
        <v>45841</v>
      </c>
      <c r="C1615">
        <v>4.1541784708175298</v>
      </c>
    </row>
    <row r="1616" spans="1:3" x14ac:dyDescent="0.45">
      <c r="A1616" s="28">
        <v>8700216163811</v>
      </c>
      <c r="B1616" s="29">
        <v>45841</v>
      </c>
      <c r="C1616">
        <v>4.1449574418996704</v>
      </c>
    </row>
    <row r="1617" spans="1:3" x14ac:dyDescent="0.45">
      <c r="A1617" s="28">
        <v>8700216236034</v>
      </c>
      <c r="B1617" s="29">
        <v>45841</v>
      </c>
      <c r="C1617">
        <v>1.4404991827079701</v>
      </c>
    </row>
    <row r="1618" spans="1:3" x14ac:dyDescent="0.45">
      <c r="A1618" s="28">
        <v>8700216236751</v>
      </c>
      <c r="B1618" s="29">
        <v>45841</v>
      </c>
      <c r="C1618">
        <v>1.7579145716903299</v>
      </c>
    </row>
    <row r="1619" spans="1:3" x14ac:dyDescent="0.45">
      <c r="A1619" s="28">
        <v>4084500088917</v>
      </c>
      <c r="B1619" s="29">
        <v>45842</v>
      </c>
      <c r="C1619">
        <v>8.2979049568489298</v>
      </c>
    </row>
    <row r="1620" spans="1:3" x14ac:dyDescent="0.45">
      <c r="A1620" s="28">
        <v>4084500853836</v>
      </c>
      <c r="B1620" s="29">
        <v>45842</v>
      </c>
      <c r="C1620">
        <v>8.0833956024541394</v>
      </c>
    </row>
    <row r="1621" spans="1:3" x14ac:dyDescent="0.45">
      <c r="A1621" s="28">
        <v>7290000286921</v>
      </c>
      <c r="B1621" s="29">
        <v>45842</v>
      </c>
      <c r="C1621">
        <v>3.51796284319314</v>
      </c>
    </row>
    <row r="1622" spans="1:3" x14ac:dyDescent="0.45">
      <c r="A1622" s="28">
        <v>7290000288024</v>
      </c>
      <c r="B1622" s="29">
        <v>45842</v>
      </c>
      <c r="C1622">
        <v>8.2867921030624192</v>
      </c>
    </row>
    <row r="1623" spans="1:3" x14ac:dyDescent="0.45">
      <c r="A1623" s="28">
        <v>7290000288307</v>
      </c>
      <c r="B1623" s="29">
        <v>45842</v>
      </c>
      <c r="C1623">
        <v>3.3923182140065</v>
      </c>
    </row>
    <row r="1624" spans="1:3" x14ac:dyDescent="0.45">
      <c r="A1624" s="28">
        <v>7290000288659</v>
      </c>
      <c r="B1624" s="29">
        <v>45842</v>
      </c>
      <c r="C1624">
        <v>3.3932693933139699</v>
      </c>
    </row>
    <row r="1625" spans="1:3" x14ac:dyDescent="0.45">
      <c r="A1625" s="28">
        <v>7290000292915</v>
      </c>
      <c r="B1625" s="29">
        <v>45842</v>
      </c>
      <c r="C1625">
        <v>4.1311326037876501</v>
      </c>
    </row>
    <row r="1626" spans="1:3" x14ac:dyDescent="0.45">
      <c r="A1626" s="28">
        <v>7290000294780</v>
      </c>
      <c r="B1626" s="29">
        <v>45842</v>
      </c>
      <c r="C1626">
        <v>8.2513120346081692</v>
      </c>
    </row>
    <row r="1627" spans="1:3" x14ac:dyDescent="0.45">
      <c r="A1627" s="28">
        <v>7290000295367</v>
      </c>
      <c r="B1627" s="29">
        <v>45842</v>
      </c>
      <c r="C1627">
        <v>3.5574926139802301</v>
      </c>
    </row>
    <row r="1628" spans="1:3" x14ac:dyDescent="0.45">
      <c r="A1628" s="28">
        <v>7290000295541</v>
      </c>
      <c r="B1628" s="29">
        <v>45842</v>
      </c>
      <c r="C1628">
        <v>3.3883908770184101</v>
      </c>
    </row>
    <row r="1629" spans="1:3" x14ac:dyDescent="0.45">
      <c r="A1629" s="28">
        <v>7290001246610</v>
      </c>
      <c r="B1629" s="29">
        <v>45842</v>
      </c>
      <c r="C1629">
        <v>3.6392969113331999</v>
      </c>
    </row>
    <row r="1630" spans="1:3" x14ac:dyDescent="0.45">
      <c r="A1630" s="28">
        <v>7290005424700</v>
      </c>
      <c r="B1630" s="29">
        <v>45842</v>
      </c>
      <c r="C1630">
        <v>4.2234796181562997</v>
      </c>
    </row>
    <row r="1631" spans="1:3" x14ac:dyDescent="0.45">
      <c r="A1631" s="28">
        <v>7290005425110</v>
      </c>
      <c r="B1631" s="29">
        <v>45842</v>
      </c>
      <c r="C1631">
        <v>4.2632879960233296</v>
      </c>
    </row>
    <row r="1632" spans="1:3" x14ac:dyDescent="0.45">
      <c r="A1632" s="28">
        <v>7290005425196</v>
      </c>
      <c r="B1632" s="29">
        <v>45842</v>
      </c>
      <c r="C1632">
        <v>3.6002980636942699</v>
      </c>
    </row>
    <row r="1633" spans="1:3" x14ac:dyDescent="0.45">
      <c r="A1633" s="28">
        <v>7290012116025</v>
      </c>
      <c r="B1633" s="29">
        <v>45842</v>
      </c>
      <c r="C1633">
        <v>4.2836034183324099</v>
      </c>
    </row>
    <row r="1634" spans="1:3" x14ac:dyDescent="0.45">
      <c r="A1634" s="28">
        <v>7290012117534</v>
      </c>
      <c r="B1634" s="29">
        <v>45842</v>
      </c>
      <c r="C1634">
        <v>3.59435618256536</v>
      </c>
    </row>
    <row r="1635" spans="1:3" x14ac:dyDescent="0.45">
      <c r="A1635" s="28">
        <v>7290013268204</v>
      </c>
      <c r="B1635" s="29">
        <v>45842</v>
      </c>
      <c r="C1635">
        <v>3.3681682017627601</v>
      </c>
    </row>
    <row r="1636" spans="1:3" x14ac:dyDescent="0.45">
      <c r="A1636" s="28">
        <v>7290013268891</v>
      </c>
      <c r="B1636" s="29">
        <v>45842</v>
      </c>
      <c r="C1636">
        <v>3.5799595147616499</v>
      </c>
    </row>
    <row r="1637" spans="1:3" x14ac:dyDescent="0.45">
      <c r="A1637" s="28">
        <v>7290013269003</v>
      </c>
      <c r="B1637" s="29">
        <v>45842</v>
      </c>
      <c r="C1637">
        <v>3.5799204300558598</v>
      </c>
    </row>
    <row r="1638" spans="1:3" x14ac:dyDescent="0.45">
      <c r="A1638" s="28">
        <v>7290014397453</v>
      </c>
      <c r="B1638" s="29">
        <v>45842</v>
      </c>
      <c r="C1638">
        <v>3.6116262628589801</v>
      </c>
    </row>
    <row r="1639" spans="1:3" x14ac:dyDescent="0.45">
      <c r="A1639" s="28">
        <v>7290019274483</v>
      </c>
      <c r="B1639" s="29">
        <v>45842</v>
      </c>
      <c r="C1639">
        <v>3.6085748993404199</v>
      </c>
    </row>
    <row r="1640" spans="1:3" x14ac:dyDescent="0.45">
      <c r="A1640" s="28">
        <v>7290019274490</v>
      </c>
      <c r="B1640" s="29">
        <v>45842</v>
      </c>
      <c r="C1640">
        <v>3.6625690464774001</v>
      </c>
    </row>
    <row r="1641" spans="1:3" x14ac:dyDescent="0.45">
      <c r="A1641" s="28">
        <v>7290019611325</v>
      </c>
      <c r="B1641" s="29">
        <v>45842</v>
      </c>
      <c r="C1641">
        <v>3.5575953108992802</v>
      </c>
    </row>
    <row r="1642" spans="1:3" x14ac:dyDescent="0.45">
      <c r="A1642" s="28">
        <v>7290103702489</v>
      </c>
      <c r="B1642" s="29">
        <v>45842</v>
      </c>
      <c r="C1642">
        <v>8.2920317499110894</v>
      </c>
    </row>
    <row r="1643" spans="1:3" x14ac:dyDescent="0.45">
      <c r="A1643" s="28">
        <v>7290103703370</v>
      </c>
      <c r="B1643" s="29">
        <v>45842</v>
      </c>
      <c r="C1643">
        <v>8.1137730696634005</v>
      </c>
    </row>
    <row r="1644" spans="1:3" x14ac:dyDescent="0.45">
      <c r="A1644" s="28">
        <v>7290103704155</v>
      </c>
      <c r="B1644" s="29">
        <v>45842</v>
      </c>
      <c r="C1644">
        <v>8.32834063804723</v>
      </c>
    </row>
    <row r="1645" spans="1:3" x14ac:dyDescent="0.45">
      <c r="A1645" s="28">
        <v>7290103704179</v>
      </c>
      <c r="B1645" s="29">
        <v>45842</v>
      </c>
      <c r="C1645">
        <v>8.3006159083214897</v>
      </c>
    </row>
    <row r="1646" spans="1:3" x14ac:dyDescent="0.45">
      <c r="A1646" s="28">
        <v>7290103704919</v>
      </c>
      <c r="B1646" s="29">
        <v>45842</v>
      </c>
      <c r="C1646">
        <v>8.1244069410553692</v>
      </c>
    </row>
    <row r="1647" spans="1:3" x14ac:dyDescent="0.45">
      <c r="A1647" s="28">
        <v>7290107280099</v>
      </c>
      <c r="B1647" s="29">
        <v>45842</v>
      </c>
      <c r="C1647">
        <v>3.3639732367130502</v>
      </c>
    </row>
    <row r="1648" spans="1:3" x14ac:dyDescent="0.45">
      <c r="A1648" s="28">
        <v>7290108351699</v>
      </c>
      <c r="B1648" s="29">
        <v>45842</v>
      </c>
      <c r="C1648">
        <v>4.0946443871602698</v>
      </c>
    </row>
    <row r="1649" spans="1:3" x14ac:dyDescent="0.45">
      <c r="A1649" s="28">
        <v>7290108352702</v>
      </c>
      <c r="B1649" s="29">
        <v>45842</v>
      </c>
      <c r="C1649">
        <v>3.3749989510768499</v>
      </c>
    </row>
    <row r="1650" spans="1:3" x14ac:dyDescent="0.45">
      <c r="A1650" s="28">
        <v>7290108356298</v>
      </c>
      <c r="B1650" s="29">
        <v>45842</v>
      </c>
      <c r="C1650">
        <v>4.2385329162947398</v>
      </c>
    </row>
    <row r="1651" spans="1:3" x14ac:dyDescent="0.45">
      <c r="A1651" s="28">
        <v>7290108356700</v>
      </c>
      <c r="B1651" s="29">
        <v>45842</v>
      </c>
      <c r="C1651">
        <v>3.3962844637354799</v>
      </c>
    </row>
    <row r="1652" spans="1:3" x14ac:dyDescent="0.45">
      <c r="A1652" s="28">
        <v>7290108356717</v>
      </c>
      <c r="B1652" s="29">
        <v>45842</v>
      </c>
      <c r="C1652">
        <v>3.7718560308865601</v>
      </c>
    </row>
    <row r="1653" spans="1:3" x14ac:dyDescent="0.45">
      <c r="A1653" s="28">
        <v>7290108356724</v>
      </c>
      <c r="B1653" s="29">
        <v>45842</v>
      </c>
      <c r="C1653">
        <v>4.2393640728602202</v>
      </c>
    </row>
    <row r="1654" spans="1:3" x14ac:dyDescent="0.45">
      <c r="A1654" s="28">
        <v>7290108357240</v>
      </c>
      <c r="B1654" s="29">
        <v>45842</v>
      </c>
      <c r="C1654">
        <v>3.5300523396965602</v>
      </c>
    </row>
    <row r="1655" spans="1:3" x14ac:dyDescent="0.45">
      <c r="A1655" s="28">
        <v>7290108357288</v>
      </c>
      <c r="B1655" s="29">
        <v>45842</v>
      </c>
      <c r="C1655">
        <v>8.2017601333818995</v>
      </c>
    </row>
    <row r="1656" spans="1:3" x14ac:dyDescent="0.45">
      <c r="A1656" s="28">
        <v>7290108357844</v>
      </c>
      <c r="B1656" s="29">
        <v>45842</v>
      </c>
      <c r="C1656">
        <v>4.1611807203707096</v>
      </c>
    </row>
    <row r="1657" spans="1:3" x14ac:dyDescent="0.45">
      <c r="A1657" s="28">
        <v>7290108359077</v>
      </c>
      <c r="B1657" s="29">
        <v>45842</v>
      </c>
      <c r="C1657">
        <v>3.3677997197405598</v>
      </c>
    </row>
    <row r="1658" spans="1:3" x14ac:dyDescent="0.45">
      <c r="A1658" s="28">
        <v>7290108359176</v>
      </c>
      <c r="B1658" s="29">
        <v>45842</v>
      </c>
      <c r="C1658">
        <v>3.38167605823981</v>
      </c>
    </row>
    <row r="1659" spans="1:3" x14ac:dyDescent="0.45">
      <c r="A1659" s="28">
        <v>7290108359190</v>
      </c>
      <c r="B1659" s="29">
        <v>45842</v>
      </c>
      <c r="C1659">
        <v>3.38504409980081</v>
      </c>
    </row>
    <row r="1660" spans="1:3" x14ac:dyDescent="0.45">
      <c r="A1660" s="28">
        <v>8001090184375</v>
      </c>
      <c r="B1660" s="29">
        <v>45842</v>
      </c>
      <c r="C1660">
        <v>3.4444303084347401</v>
      </c>
    </row>
    <row r="1661" spans="1:3" x14ac:dyDescent="0.45">
      <c r="A1661" s="28">
        <v>8001090184412</v>
      </c>
      <c r="B1661" s="29">
        <v>45842</v>
      </c>
      <c r="C1661">
        <v>8.1941449313571404</v>
      </c>
    </row>
    <row r="1662" spans="1:3" x14ac:dyDescent="0.45">
      <c r="A1662" s="28">
        <v>8001841625362</v>
      </c>
      <c r="B1662" s="29">
        <v>45842</v>
      </c>
      <c r="C1662">
        <v>3.6477774735697199</v>
      </c>
    </row>
    <row r="1663" spans="1:3" x14ac:dyDescent="0.45">
      <c r="A1663" s="28">
        <v>8001841893990</v>
      </c>
      <c r="B1663" s="29">
        <v>45842</v>
      </c>
      <c r="C1663">
        <v>3.3596518899719898</v>
      </c>
    </row>
    <row r="1664" spans="1:3" x14ac:dyDescent="0.45">
      <c r="A1664" s="28">
        <v>8006540429327</v>
      </c>
      <c r="B1664" s="29">
        <v>45842</v>
      </c>
      <c r="C1664">
        <v>8.2551510781061399</v>
      </c>
    </row>
    <row r="1665" spans="1:3" x14ac:dyDescent="0.45">
      <c r="A1665" s="28">
        <v>8700216163811</v>
      </c>
      <c r="B1665" s="29">
        <v>45842</v>
      </c>
      <c r="C1665">
        <v>8.3322349266486295</v>
      </c>
    </row>
    <row r="1666" spans="1:3" x14ac:dyDescent="0.45">
      <c r="A1666" s="28">
        <v>8700216236034</v>
      </c>
      <c r="B1666" s="29">
        <v>45842</v>
      </c>
      <c r="C1666">
        <v>3.5013011553483402</v>
      </c>
    </row>
    <row r="1667" spans="1:3" x14ac:dyDescent="0.45">
      <c r="A1667" s="28">
        <v>8700216236751</v>
      </c>
      <c r="B1667" s="29">
        <v>45842</v>
      </c>
      <c r="C1667">
        <v>3.6469401290393302</v>
      </c>
    </row>
    <row r="1668" spans="1:3" x14ac:dyDescent="0.45">
      <c r="A1668" s="28">
        <v>4084500088917</v>
      </c>
      <c r="B1668" s="29">
        <v>45843</v>
      </c>
      <c r="C1668">
        <v>8.2979049568489298</v>
      </c>
    </row>
    <row r="1669" spans="1:3" x14ac:dyDescent="0.45">
      <c r="A1669" s="28">
        <v>4084500853836</v>
      </c>
      <c r="B1669" s="29">
        <v>45843</v>
      </c>
      <c r="C1669">
        <v>8.0833956024541394</v>
      </c>
    </row>
    <row r="1670" spans="1:3" x14ac:dyDescent="0.45">
      <c r="A1670" s="28">
        <v>7290000286921</v>
      </c>
      <c r="B1670" s="29">
        <v>45843</v>
      </c>
      <c r="C1670">
        <v>3.51796284319314</v>
      </c>
    </row>
    <row r="1671" spans="1:3" x14ac:dyDescent="0.45">
      <c r="A1671" s="28">
        <v>7290000288024</v>
      </c>
      <c r="B1671" s="29">
        <v>45843</v>
      </c>
      <c r="C1671">
        <v>8.2867921030624192</v>
      </c>
    </row>
    <row r="1672" spans="1:3" x14ac:dyDescent="0.45">
      <c r="A1672" s="28">
        <v>7290000288307</v>
      </c>
      <c r="B1672" s="29">
        <v>45843</v>
      </c>
      <c r="C1672">
        <v>3.3923182140065</v>
      </c>
    </row>
    <row r="1673" spans="1:3" x14ac:dyDescent="0.45">
      <c r="A1673" s="28">
        <v>7290000288659</v>
      </c>
      <c r="B1673" s="29">
        <v>45843</v>
      </c>
      <c r="C1673">
        <v>3.3932693933139699</v>
      </c>
    </row>
    <row r="1674" spans="1:3" x14ac:dyDescent="0.45">
      <c r="A1674" s="28">
        <v>7290000292915</v>
      </c>
      <c r="B1674" s="29">
        <v>45843</v>
      </c>
      <c r="C1674">
        <v>4.1311326037876501</v>
      </c>
    </row>
    <row r="1675" spans="1:3" x14ac:dyDescent="0.45">
      <c r="A1675" s="28">
        <v>7290000294780</v>
      </c>
      <c r="B1675" s="29">
        <v>45843</v>
      </c>
      <c r="C1675">
        <v>8.2513120346081692</v>
      </c>
    </row>
    <row r="1676" spans="1:3" x14ac:dyDescent="0.45">
      <c r="A1676" s="28">
        <v>7290000295367</v>
      </c>
      <c r="B1676" s="29">
        <v>45843</v>
      </c>
      <c r="C1676">
        <v>3.5574926139802301</v>
      </c>
    </row>
    <row r="1677" spans="1:3" x14ac:dyDescent="0.45">
      <c r="A1677" s="28">
        <v>7290000295541</v>
      </c>
      <c r="B1677" s="29">
        <v>45843</v>
      </c>
      <c r="C1677">
        <v>3.3883908770184101</v>
      </c>
    </row>
    <row r="1678" spans="1:3" x14ac:dyDescent="0.45">
      <c r="A1678" s="28">
        <v>7290001246610</v>
      </c>
      <c r="B1678" s="29">
        <v>45843</v>
      </c>
      <c r="C1678">
        <v>3.6392969113331999</v>
      </c>
    </row>
    <row r="1679" spans="1:3" x14ac:dyDescent="0.45">
      <c r="A1679" s="28">
        <v>7290005424700</v>
      </c>
      <c r="B1679" s="29">
        <v>45843</v>
      </c>
      <c r="C1679">
        <v>4.2234796181562997</v>
      </c>
    </row>
    <row r="1680" spans="1:3" x14ac:dyDescent="0.45">
      <c r="A1680" s="28">
        <v>7290005425110</v>
      </c>
      <c r="B1680" s="29">
        <v>45843</v>
      </c>
      <c r="C1680">
        <v>4.2632879960233296</v>
      </c>
    </row>
    <row r="1681" spans="1:3" x14ac:dyDescent="0.45">
      <c r="A1681" s="28">
        <v>7290005425196</v>
      </c>
      <c r="B1681" s="29">
        <v>45843</v>
      </c>
      <c r="C1681">
        <v>3.6002980636942699</v>
      </c>
    </row>
    <row r="1682" spans="1:3" x14ac:dyDescent="0.45">
      <c r="A1682" s="28">
        <v>7290012116025</v>
      </c>
      <c r="B1682" s="29">
        <v>45843</v>
      </c>
      <c r="C1682">
        <v>4.2836034183324099</v>
      </c>
    </row>
    <row r="1683" spans="1:3" x14ac:dyDescent="0.45">
      <c r="A1683" s="28">
        <v>7290012117534</v>
      </c>
      <c r="B1683" s="29">
        <v>45843</v>
      </c>
      <c r="C1683">
        <v>3.59435618256536</v>
      </c>
    </row>
    <row r="1684" spans="1:3" x14ac:dyDescent="0.45">
      <c r="A1684" s="28">
        <v>7290013268204</v>
      </c>
      <c r="B1684" s="29">
        <v>45843</v>
      </c>
      <c r="C1684">
        <v>3.3681682017627601</v>
      </c>
    </row>
    <row r="1685" spans="1:3" x14ac:dyDescent="0.45">
      <c r="A1685" s="28">
        <v>7290013268891</v>
      </c>
      <c r="B1685" s="29">
        <v>45843</v>
      </c>
      <c r="C1685">
        <v>3.5799595147616499</v>
      </c>
    </row>
    <row r="1686" spans="1:3" x14ac:dyDescent="0.45">
      <c r="A1686" s="28">
        <v>7290013269003</v>
      </c>
      <c r="B1686" s="29">
        <v>45843</v>
      </c>
      <c r="C1686">
        <v>3.5799204300558598</v>
      </c>
    </row>
    <row r="1687" spans="1:3" x14ac:dyDescent="0.45">
      <c r="A1687" s="28">
        <v>7290014397453</v>
      </c>
      <c r="B1687" s="29">
        <v>45843</v>
      </c>
      <c r="C1687">
        <v>3.6116262628589801</v>
      </c>
    </row>
    <row r="1688" spans="1:3" x14ac:dyDescent="0.45">
      <c r="A1688" s="28">
        <v>7290019274483</v>
      </c>
      <c r="B1688" s="29">
        <v>45843</v>
      </c>
      <c r="C1688">
        <v>3.6085748993404199</v>
      </c>
    </row>
    <row r="1689" spans="1:3" x14ac:dyDescent="0.45">
      <c r="A1689" s="28">
        <v>7290019274490</v>
      </c>
      <c r="B1689" s="29">
        <v>45843</v>
      </c>
      <c r="C1689">
        <v>3.6625690464774001</v>
      </c>
    </row>
    <row r="1690" spans="1:3" x14ac:dyDescent="0.45">
      <c r="A1690" s="28">
        <v>7290019611325</v>
      </c>
      <c r="B1690" s="29">
        <v>45843</v>
      </c>
      <c r="C1690">
        <v>3.5575953108992802</v>
      </c>
    </row>
    <row r="1691" spans="1:3" x14ac:dyDescent="0.45">
      <c r="A1691" s="28">
        <v>7290103702489</v>
      </c>
      <c r="B1691" s="29">
        <v>45843</v>
      </c>
      <c r="C1691">
        <v>8.2920317499110894</v>
      </c>
    </row>
    <row r="1692" spans="1:3" x14ac:dyDescent="0.45">
      <c r="A1692" s="28">
        <v>7290103703370</v>
      </c>
      <c r="B1692" s="29">
        <v>45843</v>
      </c>
      <c r="C1692">
        <v>8.1137730696634005</v>
      </c>
    </row>
    <row r="1693" spans="1:3" x14ac:dyDescent="0.45">
      <c r="A1693" s="28">
        <v>7290103704155</v>
      </c>
      <c r="B1693" s="29">
        <v>45843</v>
      </c>
      <c r="C1693">
        <v>8.32834063804723</v>
      </c>
    </row>
    <row r="1694" spans="1:3" x14ac:dyDescent="0.45">
      <c r="A1694" s="28">
        <v>7290103704179</v>
      </c>
      <c r="B1694" s="29">
        <v>45843</v>
      </c>
      <c r="C1694">
        <v>8.3006159083214897</v>
      </c>
    </row>
    <row r="1695" spans="1:3" x14ac:dyDescent="0.45">
      <c r="A1695" s="28">
        <v>7290103704919</v>
      </c>
      <c r="B1695" s="29">
        <v>45843</v>
      </c>
      <c r="C1695">
        <v>8.1244069410553692</v>
      </c>
    </row>
    <row r="1696" spans="1:3" x14ac:dyDescent="0.45">
      <c r="A1696" s="28">
        <v>7290107280099</v>
      </c>
      <c r="B1696" s="29">
        <v>45843</v>
      </c>
      <c r="C1696">
        <v>3.3639732367130502</v>
      </c>
    </row>
    <row r="1697" spans="1:3" x14ac:dyDescent="0.45">
      <c r="A1697" s="28">
        <v>7290108351699</v>
      </c>
      <c r="B1697" s="29">
        <v>45843</v>
      </c>
      <c r="C1697">
        <v>4.0946443871602698</v>
      </c>
    </row>
    <row r="1698" spans="1:3" x14ac:dyDescent="0.45">
      <c r="A1698" s="28">
        <v>7290108352702</v>
      </c>
      <c r="B1698" s="29">
        <v>45843</v>
      </c>
      <c r="C1698">
        <v>3.3749989510768499</v>
      </c>
    </row>
    <row r="1699" spans="1:3" x14ac:dyDescent="0.45">
      <c r="A1699" s="28">
        <v>7290108356298</v>
      </c>
      <c r="B1699" s="29">
        <v>45843</v>
      </c>
      <c r="C1699">
        <v>4.2385329162947398</v>
      </c>
    </row>
    <row r="1700" spans="1:3" x14ac:dyDescent="0.45">
      <c r="A1700" s="28">
        <v>7290108356700</v>
      </c>
      <c r="B1700" s="29">
        <v>45843</v>
      </c>
      <c r="C1700">
        <v>3.3962844637354799</v>
      </c>
    </row>
    <row r="1701" spans="1:3" x14ac:dyDescent="0.45">
      <c r="A1701" s="28">
        <v>7290108356717</v>
      </c>
      <c r="B1701" s="29">
        <v>45843</v>
      </c>
      <c r="C1701">
        <v>3.7718560308865601</v>
      </c>
    </row>
    <row r="1702" spans="1:3" x14ac:dyDescent="0.45">
      <c r="A1702" s="28">
        <v>7290108356724</v>
      </c>
      <c r="B1702" s="29">
        <v>45843</v>
      </c>
      <c r="C1702">
        <v>4.2393640728602202</v>
      </c>
    </row>
    <row r="1703" spans="1:3" x14ac:dyDescent="0.45">
      <c r="A1703" s="28">
        <v>7290108357240</v>
      </c>
      <c r="B1703" s="29">
        <v>45843</v>
      </c>
      <c r="C1703">
        <v>3.5300523396965602</v>
      </c>
    </row>
    <row r="1704" spans="1:3" x14ac:dyDescent="0.45">
      <c r="A1704" s="28">
        <v>7290108357288</v>
      </c>
      <c r="B1704" s="29">
        <v>45843</v>
      </c>
      <c r="C1704">
        <v>8.2017601333818995</v>
      </c>
    </row>
    <row r="1705" spans="1:3" x14ac:dyDescent="0.45">
      <c r="A1705" s="28">
        <v>7290108357844</v>
      </c>
      <c r="B1705" s="29">
        <v>45843</v>
      </c>
      <c r="C1705">
        <v>4.1611807203707096</v>
      </c>
    </row>
    <row r="1706" spans="1:3" x14ac:dyDescent="0.45">
      <c r="A1706" s="28">
        <v>7290108359077</v>
      </c>
      <c r="B1706" s="29">
        <v>45843</v>
      </c>
      <c r="C1706">
        <v>3.3677997197405598</v>
      </c>
    </row>
    <row r="1707" spans="1:3" x14ac:dyDescent="0.45">
      <c r="A1707" s="28">
        <v>7290108359176</v>
      </c>
      <c r="B1707" s="29">
        <v>45843</v>
      </c>
      <c r="C1707">
        <v>3.38167605823981</v>
      </c>
    </row>
    <row r="1708" spans="1:3" x14ac:dyDescent="0.45">
      <c r="A1708" s="28">
        <v>7290108359190</v>
      </c>
      <c r="B1708" s="29">
        <v>45843</v>
      </c>
      <c r="C1708">
        <v>3.38504409980081</v>
      </c>
    </row>
    <row r="1709" spans="1:3" x14ac:dyDescent="0.45">
      <c r="A1709" s="28">
        <v>8001090184375</v>
      </c>
      <c r="B1709" s="29">
        <v>45843</v>
      </c>
      <c r="C1709">
        <v>3.4444303084347401</v>
      </c>
    </row>
    <row r="1710" spans="1:3" x14ac:dyDescent="0.45">
      <c r="A1710" s="28">
        <v>8001090184412</v>
      </c>
      <c r="B1710" s="29">
        <v>45843</v>
      </c>
      <c r="C1710">
        <v>8.1941449313571404</v>
      </c>
    </row>
    <row r="1711" spans="1:3" x14ac:dyDescent="0.45">
      <c r="A1711" s="28">
        <v>8001841625362</v>
      </c>
      <c r="B1711" s="29">
        <v>45843</v>
      </c>
      <c r="C1711">
        <v>3.6477774735697199</v>
      </c>
    </row>
    <row r="1712" spans="1:3" x14ac:dyDescent="0.45">
      <c r="A1712" s="28">
        <v>8001841893990</v>
      </c>
      <c r="B1712" s="29">
        <v>45843</v>
      </c>
      <c r="C1712">
        <v>3.3596518899719898</v>
      </c>
    </row>
    <row r="1713" spans="1:3" x14ac:dyDescent="0.45">
      <c r="A1713" s="28">
        <v>8006540429327</v>
      </c>
      <c r="B1713" s="29">
        <v>45843</v>
      </c>
      <c r="C1713">
        <v>8.2551510781061399</v>
      </c>
    </row>
    <row r="1714" spans="1:3" x14ac:dyDescent="0.45">
      <c r="A1714" s="28">
        <v>8700216163811</v>
      </c>
      <c r="B1714" s="29">
        <v>45843</v>
      </c>
      <c r="C1714">
        <v>8.3322349266486295</v>
      </c>
    </row>
    <row r="1715" spans="1:3" x14ac:dyDescent="0.45">
      <c r="A1715" s="28">
        <v>8700216236034</v>
      </c>
      <c r="B1715" s="29">
        <v>45843</v>
      </c>
      <c r="C1715">
        <v>3.5013011553483402</v>
      </c>
    </row>
    <row r="1716" spans="1:3" x14ac:dyDescent="0.45">
      <c r="A1716" s="28">
        <v>8700216236751</v>
      </c>
      <c r="B1716" s="29">
        <v>45843</v>
      </c>
      <c r="C1716">
        <v>3.6469401290393302</v>
      </c>
    </row>
    <row r="1717" spans="1:3" x14ac:dyDescent="0.45">
      <c r="A1717" s="28">
        <v>4084500088917</v>
      </c>
      <c r="B1717" s="29">
        <v>45844</v>
      </c>
      <c r="C1717">
        <v>4.2005430397281902</v>
      </c>
    </row>
    <row r="1718" spans="1:3" x14ac:dyDescent="0.45">
      <c r="A1718" s="28">
        <v>4084500853836</v>
      </c>
      <c r="B1718" s="29">
        <v>45844</v>
      </c>
      <c r="C1718">
        <v>4.19110906717916</v>
      </c>
    </row>
    <row r="1719" spans="1:3" x14ac:dyDescent="0.45">
      <c r="A1719" s="28">
        <v>7290000286921</v>
      </c>
      <c r="B1719" s="29">
        <v>45844</v>
      </c>
      <c r="C1719">
        <v>1.32245141760748</v>
      </c>
    </row>
    <row r="1720" spans="1:3" x14ac:dyDescent="0.45">
      <c r="A1720" s="28">
        <v>7290000288024</v>
      </c>
      <c r="B1720" s="29">
        <v>45844</v>
      </c>
      <c r="C1720">
        <v>4.2299322177998304</v>
      </c>
    </row>
    <row r="1721" spans="1:3" x14ac:dyDescent="0.45">
      <c r="A1721" s="28">
        <v>7290000288307</v>
      </c>
      <c r="B1721" s="29">
        <v>45844</v>
      </c>
      <c r="C1721">
        <v>1.21581453211719</v>
      </c>
    </row>
    <row r="1722" spans="1:3" x14ac:dyDescent="0.45">
      <c r="A1722" s="28">
        <v>7290000288659</v>
      </c>
      <c r="B1722" s="29">
        <v>45844</v>
      </c>
      <c r="C1722">
        <v>1.21378588921742</v>
      </c>
    </row>
    <row r="1723" spans="1:3" x14ac:dyDescent="0.45">
      <c r="A1723" s="28">
        <v>7290000292915</v>
      </c>
      <c r="B1723" s="29">
        <v>45844</v>
      </c>
      <c r="C1723">
        <v>1.9504898689889101</v>
      </c>
    </row>
    <row r="1724" spans="1:3" x14ac:dyDescent="0.45">
      <c r="A1724" s="28">
        <v>7290000294780</v>
      </c>
      <c r="B1724" s="29">
        <v>45844</v>
      </c>
      <c r="C1724">
        <v>4.1795488724362402</v>
      </c>
    </row>
    <row r="1725" spans="1:3" x14ac:dyDescent="0.45">
      <c r="A1725" s="28">
        <v>7290000295367</v>
      </c>
      <c r="B1725" s="29">
        <v>45844</v>
      </c>
      <c r="C1725">
        <v>1.7668677508136399</v>
      </c>
    </row>
    <row r="1726" spans="1:3" x14ac:dyDescent="0.45">
      <c r="A1726" s="28">
        <v>7290000295541</v>
      </c>
      <c r="B1726" s="29">
        <v>45844</v>
      </c>
      <c r="C1726">
        <v>1.21851255968635</v>
      </c>
    </row>
    <row r="1727" spans="1:3" x14ac:dyDescent="0.45">
      <c r="A1727" s="28">
        <v>7290001246610</v>
      </c>
      <c r="B1727" s="29">
        <v>45844</v>
      </c>
      <c r="C1727">
        <v>1.7734305948460101</v>
      </c>
    </row>
    <row r="1728" spans="1:3" x14ac:dyDescent="0.45">
      <c r="A1728" s="28">
        <v>7290005424700</v>
      </c>
      <c r="B1728" s="29">
        <v>45844</v>
      </c>
      <c r="C1728">
        <v>1.9776703530331701</v>
      </c>
    </row>
    <row r="1729" spans="1:3" x14ac:dyDescent="0.45">
      <c r="A1729" s="28">
        <v>7290005425110</v>
      </c>
      <c r="B1729" s="29">
        <v>45844</v>
      </c>
      <c r="C1729">
        <v>1.9040390407955901</v>
      </c>
    </row>
    <row r="1730" spans="1:3" x14ac:dyDescent="0.45">
      <c r="A1730" s="28">
        <v>7290005425196</v>
      </c>
      <c r="B1730" s="29">
        <v>45844</v>
      </c>
      <c r="C1730">
        <v>1.7610651523740299</v>
      </c>
    </row>
    <row r="1731" spans="1:3" x14ac:dyDescent="0.45">
      <c r="A1731" s="28">
        <v>7290012116025</v>
      </c>
      <c r="B1731" s="29">
        <v>45844</v>
      </c>
      <c r="C1731">
        <v>1.9664437397813599</v>
      </c>
    </row>
    <row r="1732" spans="1:3" x14ac:dyDescent="0.45">
      <c r="A1732" s="28">
        <v>7290012117534</v>
      </c>
      <c r="B1732" s="29">
        <v>45844</v>
      </c>
      <c r="C1732">
        <v>1.75882131398357</v>
      </c>
    </row>
    <row r="1733" spans="1:3" x14ac:dyDescent="0.45">
      <c r="A1733" s="28">
        <v>7290013268204</v>
      </c>
      <c r="B1733" s="29">
        <v>45844</v>
      </c>
      <c r="C1733">
        <v>1.2293883823729099</v>
      </c>
    </row>
    <row r="1734" spans="1:3" x14ac:dyDescent="0.45">
      <c r="A1734" s="28">
        <v>7290013268891</v>
      </c>
      <c r="B1734" s="29">
        <v>45844</v>
      </c>
      <c r="C1734">
        <v>1.7760616567918399</v>
      </c>
    </row>
    <row r="1735" spans="1:3" x14ac:dyDescent="0.45">
      <c r="A1735" s="28">
        <v>7290013269003</v>
      </c>
      <c r="B1735" s="29">
        <v>45844</v>
      </c>
      <c r="C1735">
        <v>1.7440432466008899</v>
      </c>
    </row>
    <row r="1736" spans="1:3" x14ac:dyDescent="0.45">
      <c r="A1736" s="28">
        <v>7290014397453</v>
      </c>
      <c r="B1736" s="29">
        <v>45844</v>
      </c>
      <c r="C1736">
        <v>1.77135818512659</v>
      </c>
    </row>
    <row r="1737" spans="1:3" x14ac:dyDescent="0.45">
      <c r="A1737" s="28">
        <v>7290019274483</v>
      </c>
      <c r="B1737" s="29">
        <v>45844</v>
      </c>
      <c r="C1737">
        <v>1.7626200868965001</v>
      </c>
    </row>
    <row r="1738" spans="1:3" x14ac:dyDescent="0.45">
      <c r="A1738" s="28">
        <v>7290019274490</v>
      </c>
      <c r="B1738" s="29">
        <v>45844</v>
      </c>
      <c r="C1738">
        <v>1.7518229228368201</v>
      </c>
    </row>
    <row r="1739" spans="1:3" x14ac:dyDescent="0.45">
      <c r="A1739" s="28">
        <v>7290019611325</v>
      </c>
      <c r="B1739" s="29">
        <v>45844</v>
      </c>
      <c r="C1739">
        <v>1.74307596287453</v>
      </c>
    </row>
    <row r="1740" spans="1:3" x14ac:dyDescent="0.45">
      <c r="A1740" s="28">
        <v>7290103702489</v>
      </c>
      <c r="B1740" s="29">
        <v>45844</v>
      </c>
      <c r="C1740">
        <v>4.1885631725278403</v>
      </c>
    </row>
    <row r="1741" spans="1:3" x14ac:dyDescent="0.45">
      <c r="A1741" s="28">
        <v>7290103703370</v>
      </c>
      <c r="B1741" s="29">
        <v>45844</v>
      </c>
      <c r="C1741">
        <v>4.2064366290760704</v>
      </c>
    </row>
    <row r="1742" spans="1:3" x14ac:dyDescent="0.45">
      <c r="A1742" s="28">
        <v>7290103704155</v>
      </c>
      <c r="B1742" s="29">
        <v>45844</v>
      </c>
      <c r="C1742">
        <v>4.1778722472194803</v>
      </c>
    </row>
    <row r="1743" spans="1:3" x14ac:dyDescent="0.45">
      <c r="A1743" s="28">
        <v>7290103704179</v>
      </c>
      <c r="B1743" s="29">
        <v>45844</v>
      </c>
      <c r="C1743">
        <v>4.2079251410531704</v>
      </c>
    </row>
    <row r="1744" spans="1:3" x14ac:dyDescent="0.45">
      <c r="A1744" s="28">
        <v>7290103704919</v>
      </c>
      <c r="B1744" s="29">
        <v>45844</v>
      </c>
      <c r="C1744">
        <v>4.1774663754573904</v>
      </c>
    </row>
    <row r="1745" spans="1:3" x14ac:dyDescent="0.45">
      <c r="A1745" s="28">
        <v>7290107280099</v>
      </c>
      <c r="B1745" s="29">
        <v>45844</v>
      </c>
      <c r="C1745">
        <v>1.2250064376612599</v>
      </c>
    </row>
    <row r="1746" spans="1:3" x14ac:dyDescent="0.45">
      <c r="A1746" s="28">
        <v>7290108351699</v>
      </c>
      <c r="B1746" s="29">
        <v>45844</v>
      </c>
      <c r="C1746">
        <v>1.97116295675054</v>
      </c>
    </row>
    <row r="1747" spans="1:3" x14ac:dyDescent="0.45">
      <c r="A1747" s="28">
        <v>7290108352702</v>
      </c>
      <c r="B1747" s="29">
        <v>45844</v>
      </c>
      <c r="C1747">
        <v>1.2089688741281599</v>
      </c>
    </row>
    <row r="1748" spans="1:3" x14ac:dyDescent="0.45">
      <c r="A1748" s="28">
        <v>7290108356298</v>
      </c>
      <c r="B1748" s="29">
        <v>45844</v>
      </c>
      <c r="C1748">
        <v>1.9436323437873599</v>
      </c>
    </row>
    <row r="1749" spans="1:3" x14ac:dyDescent="0.45">
      <c r="A1749" s="28">
        <v>7290108356700</v>
      </c>
      <c r="B1749" s="29">
        <v>45844</v>
      </c>
      <c r="C1749">
        <v>1.21813370837487</v>
      </c>
    </row>
    <row r="1750" spans="1:3" x14ac:dyDescent="0.45">
      <c r="A1750" s="28">
        <v>7290108356717</v>
      </c>
      <c r="B1750" s="29">
        <v>45844</v>
      </c>
      <c r="C1750">
        <v>1.92910692758131</v>
      </c>
    </row>
    <row r="1751" spans="1:3" x14ac:dyDescent="0.45">
      <c r="A1751" s="28">
        <v>7290108356724</v>
      </c>
      <c r="B1751" s="29">
        <v>45844</v>
      </c>
      <c r="C1751">
        <v>1.9325439463259</v>
      </c>
    </row>
    <row r="1752" spans="1:3" x14ac:dyDescent="0.45">
      <c r="A1752" s="28">
        <v>7290108357240</v>
      </c>
      <c r="B1752" s="29">
        <v>45844</v>
      </c>
      <c r="C1752">
        <v>1.7640132493893299</v>
      </c>
    </row>
    <row r="1753" spans="1:3" x14ac:dyDescent="0.45">
      <c r="A1753" s="28">
        <v>7290108357288</v>
      </c>
      <c r="B1753" s="29">
        <v>45844</v>
      </c>
      <c r="C1753">
        <v>4.19183204759499</v>
      </c>
    </row>
    <row r="1754" spans="1:3" x14ac:dyDescent="0.45">
      <c r="A1754" s="28">
        <v>7290108357844</v>
      </c>
      <c r="B1754" s="29">
        <v>45844</v>
      </c>
      <c r="C1754">
        <v>1.95795043874387</v>
      </c>
    </row>
    <row r="1755" spans="1:3" x14ac:dyDescent="0.45">
      <c r="A1755" s="28">
        <v>7290108359077</v>
      </c>
      <c r="B1755" s="29">
        <v>45844</v>
      </c>
      <c r="C1755">
        <v>1.2098983478365499</v>
      </c>
    </row>
    <row r="1756" spans="1:3" x14ac:dyDescent="0.45">
      <c r="A1756" s="28">
        <v>7290108359176</v>
      </c>
      <c r="B1756" s="29">
        <v>45844</v>
      </c>
      <c r="C1756">
        <v>1.2151544318971099</v>
      </c>
    </row>
    <row r="1757" spans="1:3" x14ac:dyDescent="0.45">
      <c r="A1757" s="28">
        <v>7290108359190</v>
      </c>
      <c r="B1757" s="29">
        <v>45844</v>
      </c>
      <c r="C1757">
        <v>1.2130514785267501</v>
      </c>
    </row>
    <row r="1758" spans="1:3" x14ac:dyDescent="0.45">
      <c r="A1758" s="28">
        <v>8001090184375</v>
      </c>
      <c r="B1758" s="29">
        <v>45844</v>
      </c>
      <c r="C1758">
        <v>1.42033292869081</v>
      </c>
    </row>
    <row r="1759" spans="1:3" x14ac:dyDescent="0.45">
      <c r="A1759" s="28">
        <v>8001090184412</v>
      </c>
      <c r="B1759" s="29">
        <v>45844</v>
      </c>
      <c r="C1759">
        <v>4.1544202158170798</v>
      </c>
    </row>
    <row r="1760" spans="1:3" x14ac:dyDescent="0.45">
      <c r="A1760" s="28">
        <v>8001841625362</v>
      </c>
      <c r="B1760" s="29">
        <v>45844</v>
      </c>
      <c r="C1760">
        <v>1.7719170835956799</v>
      </c>
    </row>
    <row r="1761" spans="1:3" x14ac:dyDescent="0.45">
      <c r="A1761" s="28">
        <v>8001841893990</v>
      </c>
      <c r="B1761" s="29">
        <v>45844</v>
      </c>
      <c r="C1761">
        <v>1.2150334158454299</v>
      </c>
    </row>
    <row r="1762" spans="1:3" x14ac:dyDescent="0.45">
      <c r="A1762" s="28">
        <v>8006540429327</v>
      </c>
      <c r="B1762" s="29">
        <v>45844</v>
      </c>
      <c r="C1762">
        <v>4.1541784708175298</v>
      </c>
    </row>
    <row r="1763" spans="1:3" x14ac:dyDescent="0.45">
      <c r="A1763" s="28">
        <v>8700216163811</v>
      </c>
      <c r="B1763" s="29">
        <v>45844</v>
      </c>
      <c r="C1763">
        <v>4.1449574418996704</v>
      </c>
    </row>
    <row r="1764" spans="1:3" x14ac:dyDescent="0.45">
      <c r="A1764" s="28">
        <v>8700216236034</v>
      </c>
      <c r="B1764" s="29">
        <v>45844</v>
      </c>
      <c r="C1764">
        <v>1.4404991827079701</v>
      </c>
    </row>
    <row r="1765" spans="1:3" x14ac:dyDescent="0.45">
      <c r="A1765" s="28">
        <v>8700216236751</v>
      </c>
      <c r="B1765" s="29">
        <v>45844</v>
      </c>
      <c r="C1765">
        <v>1.7579145716903299</v>
      </c>
    </row>
    <row r="1766" spans="1:3" x14ac:dyDescent="0.45">
      <c r="A1766" s="28">
        <v>4084500088917</v>
      </c>
      <c r="B1766" s="29">
        <v>45845</v>
      </c>
      <c r="C1766">
        <v>4.2005430397281902</v>
      </c>
    </row>
    <row r="1767" spans="1:3" x14ac:dyDescent="0.45">
      <c r="A1767" s="28">
        <v>4084500853836</v>
      </c>
      <c r="B1767" s="29">
        <v>45845</v>
      </c>
      <c r="C1767">
        <v>4.19110906717916</v>
      </c>
    </row>
    <row r="1768" spans="1:3" x14ac:dyDescent="0.45">
      <c r="A1768" s="28">
        <v>7290000286921</v>
      </c>
      <c r="B1768" s="29">
        <v>45845</v>
      </c>
      <c r="C1768">
        <v>1.32245141760748</v>
      </c>
    </row>
    <row r="1769" spans="1:3" x14ac:dyDescent="0.45">
      <c r="A1769" s="28">
        <v>7290000288024</v>
      </c>
      <c r="B1769" s="29">
        <v>45845</v>
      </c>
      <c r="C1769">
        <v>4.2299322177998304</v>
      </c>
    </row>
    <row r="1770" spans="1:3" x14ac:dyDescent="0.45">
      <c r="A1770" s="28">
        <v>7290000288307</v>
      </c>
      <c r="B1770" s="29">
        <v>45845</v>
      </c>
      <c r="C1770">
        <v>1.21581453211719</v>
      </c>
    </row>
    <row r="1771" spans="1:3" x14ac:dyDescent="0.45">
      <c r="A1771" s="28">
        <v>7290000288659</v>
      </c>
      <c r="B1771" s="29">
        <v>45845</v>
      </c>
      <c r="C1771">
        <v>1.21378588921742</v>
      </c>
    </row>
    <row r="1772" spans="1:3" x14ac:dyDescent="0.45">
      <c r="A1772" s="28">
        <v>7290000292915</v>
      </c>
      <c r="B1772" s="29">
        <v>45845</v>
      </c>
      <c r="C1772">
        <v>1.9504898689889101</v>
      </c>
    </row>
    <row r="1773" spans="1:3" x14ac:dyDescent="0.45">
      <c r="A1773" s="28">
        <v>7290000294780</v>
      </c>
      <c r="B1773" s="29">
        <v>45845</v>
      </c>
      <c r="C1773">
        <v>4.1795488724362402</v>
      </c>
    </row>
    <row r="1774" spans="1:3" x14ac:dyDescent="0.45">
      <c r="A1774" s="28">
        <v>7290000295367</v>
      </c>
      <c r="B1774" s="29">
        <v>45845</v>
      </c>
      <c r="C1774">
        <v>1.7668677508136399</v>
      </c>
    </row>
    <row r="1775" spans="1:3" x14ac:dyDescent="0.45">
      <c r="A1775" s="28">
        <v>7290000295541</v>
      </c>
      <c r="B1775" s="29">
        <v>45845</v>
      </c>
      <c r="C1775">
        <v>1.21851255968635</v>
      </c>
    </row>
    <row r="1776" spans="1:3" x14ac:dyDescent="0.45">
      <c r="A1776" s="28">
        <v>7290001246610</v>
      </c>
      <c r="B1776" s="29">
        <v>45845</v>
      </c>
      <c r="C1776">
        <v>1.7734305948460101</v>
      </c>
    </row>
    <row r="1777" spans="1:3" x14ac:dyDescent="0.45">
      <c r="A1777" s="28">
        <v>7290005424700</v>
      </c>
      <c r="B1777" s="29">
        <v>45845</v>
      </c>
      <c r="C1777">
        <v>1.9776703530331701</v>
      </c>
    </row>
    <row r="1778" spans="1:3" x14ac:dyDescent="0.45">
      <c r="A1778" s="28">
        <v>7290005425110</v>
      </c>
      <c r="B1778" s="29">
        <v>45845</v>
      </c>
      <c r="C1778">
        <v>1.9040390407955901</v>
      </c>
    </row>
    <row r="1779" spans="1:3" x14ac:dyDescent="0.45">
      <c r="A1779" s="28">
        <v>7290005425196</v>
      </c>
      <c r="B1779" s="29">
        <v>45845</v>
      </c>
      <c r="C1779">
        <v>1.7610651523740299</v>
      </c>
    </row>
    <row r="1780" spans="1:3" x14ac:dyDescent="0.45">
      <c r="A1780" s="28">
        <v>7290012116025</v>
      </c>
      <c r="B1780" s="29">
        <v>45845</v>
      </c>
      <c r="C1780">
        <v>1.9664437397813599</v>
      </c>
    </row>
    <row r="1781" spans="1:3" x14ac:dyDescent="0.45">
      <c r="A1781" s="28">
        <v>7290012117534</v>
      </c>
      <c r="B1781" s="29">
        <v>45845</v>
      </c>
      <c r="C1781">
        <v>1.75882131398357</v>
      </c>
    </row>
    <row r="1782" spans="1:3" x14ac:dyDescent="0.45">
      <c r="A1782" s="28">
        <v>7290013268204</v>
      </c>
      <c r="B1782" s="29">
        <v>45845</v>
      </c>
      <c r="C1782">
        <v>1.2293883823729099</v>
      </c>
    </row>
    <row r="1783" spans="1:3" x14ac:dyDescent="0.45">
      <c r="A1783" s="28">
        <v>7290013268891</v>
      </c>
      <c r="B1783" s="29">
        <v>45845</v>
      </c>
      <c r="C1783">
        <v>1.7760616567918399</v>
      </c>
    </row>
    <row r="1784" spans="1:3" x14ac:dyDescent="0.45">
      <c r="A1784" s="28">
        <v>7290013269003</v>
      </c>
      <c r="B1784" s="29">
        <v>45845</v>
      </c>
      <c r="C1784">
        <v>1.7440432466008899</v>
      </c>
    </row>
    <row r="1785" spans="1:3" x14ac:dyDescent="0.45">
      <c r="A1785" s="28">
        <v>7290014397453</v>
      </c>
      <c r="B1785" s="29">
        <v>45845</v>
      </c>
      <c r="C1785">
        <v>1.77135818512659</v>
      </c>
    </row>
    <row r="1786" spans="1:3" x14ac:dyDescent="0.45">
      <c r="A1786" s="28">
        <v>7290019274483</v>
      </c>
      <c r="B1786" s="29">
        <v>45845</v>
      </c>
      <c r="C1786">
        <v>1.7626200868965001</v>
      </c>
    </row>
    <row r="1787" spans="1:3" x14ac:dyDescent="0.45">
      <c r="A1787" s="28">
        <v>7290019274490</v>
      </c>
      <c r="B1787" s="29">
        <v>45845</v>
      </c>
      <c r="C1787">
        <v>1.7518229228368201</v>
      </c>
    </row>
    <row r="1788" spans="1:3" x14ac:dyDescent="0.45">
      <c r="A1788" s="28">
        <v>7290019611325</v>
      </c>
      <c r="B1788" s="29">
        <v>45845</v>
      </c>
      <c r="C1788">
        <v>1.74307596287453</v>
      </c>
    </row>
    <row r="1789" spans="1:3" x14ac:dyDescent="0.45">
      <c r="A1789" s="28">
        <v>7290103702489</v>
      </c>
      <c r="B1789" s="29">
        <v>45845</v>
      </c>
      <c r="C1789">
        <v>4.1885631725278403</v>
      </c>
    </row>
    <row r="1790" spans="1:3" x14ac:dyDescent="0.45">
      <c r="A1790" s="28">
        <v>7290103703370</v>
      </c>
      <c r="B1790" s="29">
        <v>45845</v>
      </c>
      <c r="C1790">
        <v>4.2064366290760704</v>
      </c>
    </row>
    <row r="1791" spans="1:3" x14ac:dyDescent="0.45">
      <c r="A1791" s="28">
        <v>7290103704155</v>
      </c>
      <c r="B1791" s="29">
        <v>45845</v>
      </c>
      <c r="C1791">
        <v>4.1778722472194803</v>
      </c>
    </row>
    <row r="1792" spans="1:3" x14ac:dyDescent="0.45">
      <c r="A1792" s="28">
        <v>7290103704179</v>
      </c>
      <c r="B1792" s="29">
        <v>45845</v>
      </c>
      <c r="C1792">
        <v>4.2079251410531704</v>
      </c>
    </row>
    <row r="1793" spans="1:3" x14ac:dyDescent="0.45">
      <c r="A1793" s="28">
        <v>7290103704919</v>
      </c>
      <c r="B1793" s="29">
        <v>45845</v>
      </c>
      <c r="C1793">
        <v>4.1774663754573904</v>
      </c>
    </row>
    <row r="1794" spans="1:3" x14ac:dyDescent="0.45">
      <c r="A1794" s="28">
        <v>7290107280099</v>
      </c>
      <c r="B1794" s="29">
        <v>45845</v>
      </c>
      <c r="C1794">
        <v>1.2250064376612599</v>
      </c>
    </row>
    <row r="1795" spans="1:3" x14ac:dyDescent="0.45">
      <c r="A1795" s="28">
        <v>7290108351699</v>
      </c>
      <c r="B1795" s="29">
        <v>45845</v>
      </c>
      <c r="C1795">
        <v>1.97116295675054</v>
      </c>
    </row>
    <row r="1796" spans="1:3" x14ac:dyDescent="0.45">
      <c r="A1796" s="28">
        <v>7290108352702</v>
      </c>
      <c r="B1796" s="29">
        <v>45845</v>
      </c>
      <c r="C1796">
        <v>1.2089688741281599</v>
      </c>
    </row>
    <row r="1797" spans="1:3" x14ac:dyDescent="0.45">
      <c r="A1797" s="28">
        <v>7290108356298</v>
      </c>
      <c r="B1797" s="29">
        <v>45845</v>
      </c>
      <c r="C1797">
        <v>1.9436323437873599</v>
      </c>
    </row>
    <row r="1798" spans="1:3" x14ac:dyDescent="0.45">
      <c r="A1798" s="28">
        <v>7290108356700</v>
      </c>
      <c r="B1798" s="29">
        <v>45845</v>
      </c>
      <c r="C1798">
        <v>1.21813370837487</v>
      </c>
    </row>
    <row r="1799" spans="1:3" x14ac:dyDescent="0.45">
      <c r="A1799" s="28">
        <v>7290108356717</v>
      </c>
      <c r="B1799" s="29">
        <v>45845</v>
      </c>
      <c r="C1799">
        <v>1.92910692758131</v>
      </c>
    </row>
    <row r="1800" spans="1:3" x14ac:dyDescent="0.45">
      <c r="A1800" s="28">
        <v>7290108356724</v>
      </c>
      <c r="B1800" s="29">
        <v>45845</v>
      </c>
      <c r="C1800">
        <v>1.9325439463259</v>
      </c>
    </row>
    <row r="1801" spans="1:3" x14ac:dyDescent="0.45">
      <c r="A1801" s="28">
        <v>7290108357240</v>
      </c>
      <c r="B1801" s="29">
        <v>45845</v>
      </c>
      <c r="C1801">
        <v>1.7640132493893299</v>
      </c>
    </row>
    <row r="1802" spans="1:3" x14ac:dyDescent="0.45">
      <c r="A1802" s="28">
        <v>7290108357288</v>
      </c>
      <c r="B1802" s="29">
        <v>45845</v>
      </c>
      <c r="C1802">
        <v>4.19183204759499</v>
      </c>
    </row>
    <row r="1803" spans="1:3" x14ac:dyDescent="0.45">
      <c r="A1803" s="28">
        <v>7290108357844</v>
      </c>
      <c r="B1803" s="29">
        <v>45845</v>
      </c>
      <c r="C1803">
        <v>1.95795043874387</v>
      </c>
    </row>
    <row r="1804" spans="1:3" x14ac:dyDescent="0.45">
      <c r="A1804" s="28">
        <v>7290108359077</v>
      </c>
      <c r="B1804" s="29">
        <v>45845</v>
      </c>
      <c r="C1804">
        <v>1.2098983478365499</v>
      </c>
    </row>
    <row r="1805" spans="1:3" x14ac:dyDescent="0.45">
      <c r="A1805" s="28">
        <v>7290108359176</v>
      </c>
      <c r="B1805" s="29">
        <v>45845</v>
      </c>
      <c r="C1805">
        <v>1.2151544318971099</v>
      </c>
    </row>
    <row r="1806" spans="1:3" x14ac:dyDescent="0.45">
      <c r="A1806" s="28">
        <v>7290108359190</v>
      </c>
      <c r="B1806" s="29">
        <v>45845</v>
      </c>
      <c r="C1806">
        <v>1.2130514785267501</v>
      </c>
    </row>
    <row r="1807" spans="1:3" x14ac:dyDescent="0.45">
      <c r="A1807" s="28">
        <v>8001090184375</v>
      </c>
      <c r="B1807" s="29">
        <v>45845</v>
      </c>
      <c r="C1807">
        <v>1.42033292869081</v>
      </c>
    </row>
    <row r="1808" spans="1:3" x14ac:dyDescent="0.45">
      <c r="A1808" s="28">
        <v>8001090184412</v>
      </c>
      <c r="B1808" s="29">
        <v>45845</v>
      </c>
      <c r="C1808">
        <v>4.1544202158170798</v>
      </c>
    </row>
    <row r="1809" spans="1:3" x14ac:dyDescent="0.45">
      <c r="A1809" s="28">
        <v>8001841625362</v>
      </c>
      <c r="B1809" s="29">
        <v>45845</v>
      </c>
      <c r="C1809">
        <v>1.7719170835956799</v>
      </c>
    </row>
    <row r="1810" spans="1:3" x14ac:dyDescent="0.45">
      <c r="A1810" s="28">
        <v>8001841893990</v>
      </c>
      <c r="B1810" s="29">
        <v>45845</v>
      </c>
      <c r="C1810">
        <v>1.2150334158454299</v>
      </c>
    </row>
    <row r="1811" spans="1:3" x14ac:dyDescent="0.45">
      <c r="A1811" s="28">
        <v>8006540429327</v>
      </c>
      <c r="B1811" s="29">
        <v>45845</v>
      </c>
      <c r="C1811">
        <v>4.1541784708175298</v>
      </c>
    </row>
    <row r="1812" spans="1:3" x14ac:dyDescent="0.45">
      <c r="A1812" s="28">
        <v>8700216163811</v>
      </c>
      <c r="B1812" s="29">
        <v>45845</v>
      </c>
      <c r="C1812">
        <v>4.1449574418996704</v>
      </c>
    </row>
    <row r="1813" spans="1:3" x14ac:dyDescent="0.45">
      <c r="A1813" s="28">
        <v>8700216236034</v>
      </c>
      <c r="B1813" s="29">
        <v>45845</v>
      </c>
      <c r="C1813">
        <v>1.4404991827079701</v>
      </c>
    </row>
    <row r="1814" spans="1:3" x14ac:dyDescent="0.45">
      <c r="A1814" s="28">
        <v>8700216236751</v>
      </c>
      <c r="B1814" s="29">
        <v>45845</v>
      </c>
      <c r="C1814">
        <v>1.7579145716903299</v>
      </c>
    </row>
    <row r="1815" spans="1:3" x14ac:dyDescent="0.45">
      <c r="A1815" s="28">
        <v>4084500088917</v>
      </c>
      <c r="B1815" s="29">
        <v>45846</v>
      </c>
      <c r="C1815">
        <v>4.2005430397281902</v>
      </c>
    </row>
    <row r="1816" spans="1:3" x14ac:dyDescent="0.45">
      <c r="A1816" s="28">
        <v>4084500853836</v>
      </c>
      <c r="B1816" s="29">
        <v>45846</v>
      </c>
      <c r="C1816">
        <v>4.19110906717916</v>
      </c>
    </row>
    <row r="1817" spans="1:3" x14ac:dyDescent="0.45">
      <c r="A1817" s="28">
        <v>7290000286921</v>
      </c>
      <c r="B1817" s="29">
        <v>45846</v>
      </c>
      <c r="C1817">
        <v>1.32245141760748</v>
      </c>
    </row>
    <row r="1818" spans="1:3" x14ac:dyDescent="0.45">
      <c r="A1818" s="28">
        <v>7290000288024</v>
      </c>
      <c r="B1818" s="29">
        <v>45846</v>
      </c>
      <c r="C1818">
        <v>4.2299322177998304</v>
      </c>
    </row>
    <row r="1819" spans="1:3" x14ac:dyDescent="0.45">
      <c r="A1819" s="28">
        <v>7290000288307</v>
      </c>
      <c r="B1819" s="29">
        <v>45846</v>
      </c>
      <c r="C1819">
        <v>1.21581453211719</v>
      </c>
    </row>
    <row r="1820" spans="1:3" x14ac:dyDescent="0.45">
      <c r="A1820" s="28">
        <v>7290000288659</v>
      </c>
      <c r="B1820" s="29">
        <v>45846</v>
      </c>
      <c r="C1820">
        <v>1.21378588921742</v>
      </c>
    </row>
    <row r="1821" spans="1:3" x14ac:dyDescent="0.45">
      <c r="A1821" s="28">
        <v>7290000292915</v>
      </c>
      <c r="B1821" s="29">
        <v>45846</v>
      </c>
      <c r="C1821">
        <v>1.9504898689889101</v>
      </c>
    </row>
    <row r="1822" spans="1:3" x14ac:dyDescent="0.45">
      <c r="A1822" s="28">
        <v>7290000294780</v>
      </c>
      <c r="B1822" s="29">
        <v>45846</v>
      </c>
      <c r="C1822">
        <v>4.1795488724362402</v>
      </c>
    </row>
    <row r="1823" spans="1:3" x14ac:dyDescent="0.45">
      <c r="A1823" s="28">
        <v>7290000295367</v>
      </c>
      <c r="B1823" s="29">
        <v>45846</v>
      </c>
      <c r="C1823">
        <v>1.7668677508136399</v>
      </c>
    </row>
    <row r="1824" spans="1:3" x14ac:dyDescent="0.45">
      <c r="A1824" s="28">
        <v>7290000295541</v>
      </c>
      <c r="B1824" s="29">
        <v>45846</v>
      </c>
      <c r="C1824">
        <v>1.21851255968635</v>
      </c>
    </row>
    <row r="1825" spans="1:3" x14ac:dyDescent="0.45">
      <c r="A1825" s="28">
        <v>7290001246610</v>
      </c>
      <c r="B1825" s="29">
        <v>45846</v>
      </c>
      <c r="C1825">
        <v>1.7734305948460101</v>
      </c>
    </row>
    <row r="1826" spans="1:3" x14ac:dyDescent="0.45">
      <c r="A1826" s="28">
        <v>7290005424700</v>
      </c>
      <c r="B1826" s="29">
        <v>45846</v>
      </c>
      <c r="C1826">
        <v>1.9776703530331701</v>
      </c>
    </row>
    <row r="1827" spans="1:3" x14ac:dyDescent="0.45">
      <c r="A1827" s="28">
        <v>7290005425110</v>
      </c>
      <c r="B1827" s="29">
        <v>45846</v>
      </c>
      <c r="C1827">
        <v>1.9040390407955901</v>
      </c>
    </row>
    <row r="1828" spans="1:3" x14ac:dyDescent="0.45">
      <c r="A1828" s="28">
        <v>7290005425196</v>
      </c>
      <c r="B1828" s="29">
        <v>45846</v>
      </c>
      <c r="C1828">
        <v>1.7610651523740299</v>
      </c>
    </row>
    <row r="1829" spans="1:3" x14ac:dyDescent="0.45">
      <c r="A1829" s="28">
        <v>7290012116025</v>
      </c>
      <c r="B1829" s="29">
        <v>45846</v>
      </c>
      <c r="C1829">
        <v>1.9664437397813599</v>
      </c>
    </row>
    <row r="1830" spans="1:3" x14ac:dyDescent="0.45">
      <c r="A1830" s="28">
        <v>7290012117534</v>
      </c>
      <c r="B1830" s="29">
        <v>45846</v>
      </c>
      <c r="C1830">
        <v>1.75882131398357</v>
      </c>
    </row>
    <row r="1831" spans="1:3" x14ac:dyDescent="0.45">
      <c r="A1831" s="28">
        <v>7290013268204</v>
      </c>
      <c r="B1831" s="29">
        <v>45846</v>
      </c>
      <c r="C1831">
        <v>1.2293883823729099</v>
      </c>
    </row>
    <row r="1832" spans="1:3" x14ac:dyDescent="0.45">
      <c r="A1832" s="28">
        <v>7290013268891</v>
      </c>
      <c r="B1832" s="29">
        <v>45846</v>
      </c>
      <c r="C1832">
        <v>1.7760616567918399</v>
      </c>
    </row>
    <row r="1833" spans="1:3" x14ac:dyDescent="0.45">
      <c r="A1833" s="28">
        <v>7290013269003</v>
      </c>
      <c r="B1833" s="29">
        <v>45846</v>
      </c>
      <c r="C1833">
        <v>1.7440432466008899</v>
      </c>
    </row>
    <row r="1834" spans="1:3" x14ac:dyDescent="0.45">
      <c r="A1834" s="28">
        <v>7290014397453</v>
      </c>
      <c r="B1834" s="29">
        <v>45846</v>
      </c>
      <c r="C1834">
        <v>1.77135818512659</v>
      </c>
    </row>
    <row r="1835" spans="1:3" x14ac:dyDescent="0.45">
      <c r="A1835" s="28">
        <v>7290019274483</v>
      </c>
      <c r="B1835" s="29">
        <v>45846</v>
      </c>
      <c r="C1835">
        <v>1.7626200868965001</v>
      </c>
    </row>
    <row r="1836" spans="1:3" x14ac:dyDescent="0.45">
      <c r="A1836" s="28">
        <v>7290019274490</v>
      </c>
      <c r="B1836" s="29">
        <v>45846</v>
      </c>
      <c r="C1836">
        <v>1.7518229228368201</v>
      </c>
    </row>
    <row r="1837" spans="1:3" x14ac:dyDescent="0.45">
      <c r="A1837" s="28">
        <v>7290019611325</v>
      </c>
      <c r="B1837" s="29">
        <v>45846</v>
      </c>
      <c r="C1837">
        <v>1.74307596287453</v>
      </c>
    </row>
    <row r="1838" spans="1:3" x14ac:dyDescent="0.45">
      <c r="A1838" s="28">
        <v>7290103702489</v>
      </c>
      <c r="B1838" s="29">
        <v>45846</v>
      </c>
      <c r="C1838">
        <v>4.1885631725278403</v>
      </c>
    </row>
    <row r="1839" spans="1:3" x14ac:dyDescent="0.45">
      <c r="A1839" s="28">
        <v>7290103703370</v>
      </c>
      <c r="B1839" s="29">
        <v>45846</v>
      </c>
      <c r="C1839">
        <v>4.2064366290760704</v>
      </c>
    </row>
    <row r="1840" spans="1:3" x14ac:dyDescent="0.45">
      <c r="A1840" s="28">
        <v>7290103704155</v>
      </c>
      <c r="B1840" s="29">
        <v>45846</v>
      </c>
      <c r="C1840">
        <v>4.1778722472194803</v>
      </c>
    </row>
    <row r="1841" spans="1:3" x14ac:dyDescent="0.45">
      <c r="A1841" s="28">
        <v>7290103704179</v>
      </c>
      <c r="B1841" s="29">
        <v>45846</v>
      </c>
      <c r="C1841">
        <v>4.2079251410531704</v>
      </c>
    </row>
    <row r="1842" spans="1:3" x14ac:dyDescent="0.45">
      <c r="A1842" s="28">
        <v>7290103704919</v>
      </c>
      <c r="B1842" s="29">
        <v>45846</v>
      </c>
      <c r="C1842">
        <v>4.1774663754573904</v>
      </c>
    </row>
    <row r="1843" spans="1:3" x14ac:dyDescent="0.45">
      <c r="A1843" s="28">
        <v>7290107280099</v>
      </c>
      <c r="B1843" s="29">
        <v>45846</v>
      </c>
      <c r="C1843">
        <v>1.2250064376612599</v>
      </c>
    </row>
    <row r="1844" spans="1:3" x14ac:dyDescent="0.45">
      <c r="A1844" s="28">
        <v>7290108351699</v>
      </c>
      <c r="B1844" s="29">
        <v>45846</v>
      </c>
      <c r="C1844">
        <v>1.97116295675054</v>
      </c>
    </row>
    <row r="1845" spans="1:3" x14ac:dyDescent="0.45">
      <c r="A1845" s="28">
        <v>7290108352702</v>
      </c>
      <c r="B1845" s="29">
        <v>45846</v>
      </c>
      <c r="C1845">
        <v>1.2089688741281599</v>
      </c>
    </row>
    <row r="1846" spans="1:3" x14ac:dyDescent="0.45">
      <c r="A1846" s="28">
        <v>7290108356298</v>
      </c>
      <c r="B1846" s="29">
        <v>45846</v>
      </c>
      <c r="C1846">
        <v>1.9436323437873599</v>
      </c>
    </row>
    <row r="1847" spans="1:3" x14ac:dyDescent="0.45">
      <c r="A1847" s="28">
        <v>7290108356700</v>
      </c>
      <c r="B1847" s="29">
        <v>45846</v>
      </c>
      <c r="C1847">
        <v>1.21813370837487</v>
      </c>
    </row>
    <row r="1848" spans="1:3" x14ac:dyDescent="0.45">
      <c r="A1848" s="28">
        <v>7290108356717</v>
      </c>
      <c r="B1848" s="29">
        <v>45846</v>
      </c>
      <c r="C1848">
        <v>1.92910692758131</v>
      </c>
    </row>
    <row r="1849" spans="1:3" x14ac:dyDescent="0.45">
      <c r="A1849" s="28">
        <v>7290108356724</v>
      </c>
      <c r="B1849" s="29">
        <v>45846</v>
      </c>
      <c r="C1849">
        <v>1.9325439463259</v>
      </c>
    </row>
    <row r="1850" spans="1:3" x14ac:dyDescent="0.45">
      <c r="A1850" s="28">
        <v>7290108357240</v>
      </c>
      <c r="B1850" s="29">
        <v>45846</v>
      </c>
      <c r="C1850">
        <v>1.7640132493893299</v>
      </c>
    </row>
    <row r="1851" spans="1:3" x14ac:dyDescent="0.45">
      <c r="A1851" s="28">
        <v>7290108357288</v>
      </c>
      <c r="B1851" s="29">
        <v>45846</v>
      </c>
      <c r="C1851">
        <v>4.19183204759499</v>
      </c>
    </row>
    <row r="1852" spans="1:3" x14ac:dyDescent="0.45">
      <c r="A1852" s="28">
        <v>7290108357844</v>
      </c>
      <c r="B1852" s="29">
        <v>45846</v>
      </c>
      <c r="C1852">
        <v>1.95795043874387</v>
      </c>
    </row>
    <row r="1853" spans="1:3" x14ac:dyDescent="0.45">
      <c r="A1853" s="28">
        <v>7290108359077</v>
      </c>
      <c r="B1853" s="29">
        <v>45846</v>
      </c>
      <c r="C1853">
        <v>1.2098983478365499</v>
      </c>
    </row>
    <row r="1854" spans="1:3" x14ac:dyDescent="0.45">
      <c r="A1854" s="28">
        <v>7290108359176</v>
      </c>
      <c r="B1854" s="29">
        <v>45846</v>
      </c>
      <c r="C1854">
        <v>1.2151544318971099</v>
      </c>
    </row>
    <row r="1855" spans="1:3" x14ac:dyDescent="0.45">
      <c r="A1855" s="28">
        <v>7290108359190</v>
      </c>
      <c r="B1855" s="29">
        <v>45846</v>
      </c>
      <c r="C1855">
        <v>1.2130514785267501</v>
      </c>
    </row>
    <row r="1856" spans="1:3" x14ac:dyDescent="0.45">
      <c r="A1856" s="28">
        <v>8001090184375</v>
      </c>
      <c r="B1856" s="29">
        <v>45846</v>
      </c>
      <c r="C1856">
        <v>1.42033292869081</v>
      </c>
    </row>
    <row r="1857" spans="1:3" x14ac:dyDescent="0.45">
      <c r="A1857" s="28">
        <v>8001090184412</v>
      </c>
      <c r="B1857" s="29">
        <v>45846</v>
      </c>
      <c r="C1857">
        <v>4.1544202158170798</v>
      </c>
    </row>
    <row r="1858" spans="1:3" x14ac:dyDescent="0.45">
      <c r="A1858" s="28">
        <v>8001841625362</v>
      </c>
      <c r="B1858" s="29">
        <v>45846</v>
      </c>
      <c r="C1858">
        <v>1.7719170835956799</v>
      </c>
    </row>
    <row r="1859" spans="1:3" x14ac:dyDescent="0.45">
      <c r="A1859" s="28">
        <v>8001841893990</v>
      </c>
      <c r="B1859" s="29">
        <v>45846</v>
      </c>
      <c r="C1859">
        <v>1.2150334158454299</v>
      </c>
    </row>
    <row r="1860" spans="1:3" x14ac:dyDescent="0.45">
      <c r="A1860" s="28">
        <v>8006540429327</v>
      </c>
      <c r="B1860" s="29">
        <v>45846</v>
      </c>
      <c r="C1860">
        <v>4.1541784708175298</v>
      </c>
    </row>
    <row r="1861" spans="1:3" x14ac:dyDescent="0.45">
      <c r="A1861" s="28">
        <v>8700216163811</v>
      </c>
      <c r="B1861" s="29">
        <v>45846</v>
      </c>
      <c r="C1861">
        <v>4.1449574418996704</v>
      </c>
    </row>
    <row r="1862" spans="1:3" x14ac:dyDescent="0.45">
      <c r="A1862" s="28">
        <v>8700216236034</v>
      </c>
      <c r="B1862" s="29">
        <v>45846</v>
      </c>
      <c r="C1862">
        <v>1.4404991827079701</v>
      </c>
    </row>
    <row r="1863" spans="1:3" x14ac:dyDescent="0.45">
      <c r="A1863" s="28">
        <v>8700216236751</v>
      </c>
      <c r="B1863" s="29">
        <v>45846</v>
      </c>
      <c r="C1863">
        <v>1.7579145716903299</v>
      </c>
    </row>
    <row r="1864" spans="1:3" x14ac:dyDescent="0.45">
      <c r="A1864" s="28">
        <v>4084500088917</v>
      </c>
      <c r="B1864" s="29">
        <v>45847</v>
      </c>
      <c r="C1864">
        <v>4.2005430397281902</v>
      </c>
    </row>
    <row r="1865" spans="1:3" x14ac:dyDescent="0.45">
      <c r="A1865" s="28">
        <v>4084500853836</v>
      </c>
      <c r="B1865" s="29">
        <v>45847</v>
      </c>
      <c r="C1865">
        <v>4.19110906717916</v>
      </c>
    </row>
    <row r="1866" spans="1:3" x14ac:dyDescent="0.45">
      <c r="A1866" s="28">
        <v>7290000286921</v>
      </c>
      <c r="B1866" s="29">
        <v>45847</v>
      </c>
      <c r="C1866">
        <v>1.32245141760748</v>
      </c>
    </row>
    <row r="1867" spans="1:3" x14ac:dyDescent="0.45">
      <c r="A1867" s="28">
        <v>7290000288024</v>
      </c>
      <c r="B1867" s="29">
        <v>45847</v>
      </c>
      <c r="C1867">
        <v>4.2299322177998304</v>
      </c>
    </row>
    <row r="1868" spans="1:3" x14ac:dyDescent="0.45">
      <c r="A1868" s="28">
        <v>7290000288307</v>
      </c>
      <c r="B1868" s="29">
        <v>45847</v>
      </c>
      <c r="C1868">
        <v>1.21581453211719</v>
      </c>
    </row>
    <row r="1869" spans="1:3" x14ac:dyDescent="0.45">
      <c r="A1869" s="28">
        <v>7290000288659</v>
      </c>
      <c r="B1869" s="29">
        <v>45847</v>
      </c>
      <c r="C1869">
        <v>1.21378588921742</v>
      </c>
    </row>
    <row r="1870" spans="1:3" x14ac:dyDescent="0.45">
      <c r="A1870" s="28">
        <v>7290000292915</v>
      </c>
      <c r="B1870" s="29">
        <v>45847</v>
      </c>
      <c r="C1870">
        <v>1.9504898689889101</v>
      </c>
    </row>
    <row r="1871" spans="1:3" x14ac:dyDescent="0.45">
      <c r="A1871" s="28">
        <v>7290000294780</v>
      </c>
      <c r="B1871" s="29">
        <v>45847</v>
      </c>
      <c r="C1871">
        <v>4.1795488724362402</v>
      </c>
    </row>
    <row r="1872" spans="1:3" x14ac:dyDescent="0.45">
      <c r="A1872" s="28">
        <v>7290000295367</v>
      </c>
      <c r="B1872" s="29">
        <v>45847</v>
      </c>
      <c r="C1872">
        <v>1.7668677508136399</v>
      </c>
    </row>
    <row r="1873" spans="1:3" x14ac:dyDescent="0.45">
      <c r="A1873" s="28">
        <v>7290000295541</v>
      </c>
      <c r="B1873" s="29">
        <v>45847</v>
      </c>
      <c r="C1873">
        <v>1.21851255968635</v>
      </c>
    </row>
    <row r="1874" spans="1:3" x14ac:dyDescent="0.45">
      <c r="A1874" s="28">
        <v>7290001246610</v>
      </c>
      <c r="B1874" s="29">
        <v>45847</v>
      </c>
      <c r="C1874">
        <v>1.7734305948460101</v>
      </c>
    </row>
    <row r="1875" spans="1:3" x14ac:dyDescent="0.45">
      <c r="A1875" s="28">
        <v>7290005424700</v>
      </c>
      <c r="B1875" s="29">
        <v>45847</v>
      </c>
      <c r="C1875">
        <v>1.9776703530331701</v>
      </c>
    </row>
    <row r="1876" spans="1:3" x14ac:dyDescent="0.45">
      <c r="A1876" s="28">
        <v>7290005425110</v>
      </c>
      <c r="B1876" s="29">
        <v>45847</v>
      </c>
      <c r="C1876">
        <v>1.9040390407955901</v>
      </c>
    </row>
    <row r="1877" spans="1:3" x14ac:dyDescent="0.45">
      <c r="A1877" s="28">
        <v>7290005425196</v>
      </c>
      <c r="B1877" s="29">
        <v>45847</v>
      </c>
      <c r="C1877">
        <v>1.7610651523740299</v>
      </c>
    </row>
    <row r="1878" spans="1:3" x14ac:dyDescent="0.45">
      <c r="A1878" s="28">
        <v>7290012116025</v>
      </c>
      <c r="B1878" s="29">
        <v>45847</v>
      </c>
      <c r="C1878">
        <v>1.9664437397813599</v>
      </c>
    </row>
    <row r="1879" spans="1:3" x14ac:dyDescent="0.45">
      <c r="A1879" s="28">
        <v>7290012117534</v>
      </c>
      <c r="B1879" s="29">
        <v>45847</v>
      </c>
      <c r="C1879">
        <v>1.75882131398357</v>
      </c>
    </row>
    <row r="1880" spans="1:3" x14ac:dyDescent="0.45">
      <c r="A1880" s="28">
        <v>7290013268204</v>
      </c>
      <c r="B1880" s="29">
        <v>45847</v>
      </c>
      <c r="C1880">
        <v>1.2293883823729099</v>
      </c>
    </row>
    <row r="1881" spans="1:3" x14ac:dyDescent="0.45">
      <c r="A1881" s="28">
        <v>7290013268891</v>
      </c>
      <c r="B1881" s="29">
        <v>45847</v>
      </c>
      <c r="C1881">
        <v>1.7760616567918399</v>
      </c>
    </row>
    <row r="1882" spans="1:3" x14ac:dyDescent="0.45">
      <c r="A1882" s="28">
        <v>7290013269003</v>
      </c>
      <c r="B1882" s="29">
        <v>45847</v>
      </c>
      <c r="C1882">
        <v>1.7440432466008899</v>
      </c>
    </row>
    <row r="1883" spans="1:3" x14ac:dyDescent="0.45">
      <c r="A1883" s="28">
        <v>7290014397453</v>
      </c>
      <c r="B1883" s="29">
        <v>45847</v>
      </c>
      <c r="C1883">
        <v>1.77135818512659</v>
      </c>
    </row>
    <row r="1884" spans="1:3" x14ac:dyDescent="0.45">
      <c r="A1884" s="28">
        <v>7290019274483</v>
      </c>
      <c r="B1884" s="29">
        <v>45847</v>
      </c>
      <c r="C1884">
        <v>1.7626200868965001</v>
      </c>
    </row>
    <row r="1885" spans="1:3" x14ac:dyDescent="0.45">
      <c r="A1885" s="28">
        <v>7290019274490</v>
      </c>
      <c r="B1885" s="29">
        <v>45847</v>
      </c>
      <c r="C1885">
        <v>1.7518229228368201</v>
      </c>
    </row>
    <row r="1886" spans="1:3" x14ac:dyDescent="0.45">
      <c r="A1886" s="28">
        <v>7290019611325</v>
      </c>
      <c r="B1886" s="29">
        <v>45847</v>
      </c>
      <c r="C1886">
        <v>1.74307596287453</v>
      </c>
    </row>
    <row r="1887" spans="1:3" x14ac:dyDescent="0.45">
      <c r="A1887" s="28">
        <v>7290103702489</v>
      </c>
      <c r="B1887" s="29">
        <v>45847</v>
      </c>
      <c r="C1887">
        <v>4.1885631725278403</v>
      </c>
    </row>
    <row r="1888" spans="1:3" x14ac:dyDescent="0.45">
      <c r="A1888" s="28">
        <v>7290103703370</v>
      </c>
      <c r="B1888" s="29">
        <v>45847</v>
      </c>
      <c r="C1888">
        <v>4.2064366290760704</v>
      </c>
    </row>
    <row r="1889" spans="1:3" x14ac:dyDescent="0.45">
      <c r="A1889" s="28">
        <v>7290103704155</v>
      </c>
      <c r="B1889" s="29">
        <v>45847</v>
      </c>
      <c r="C1889">
        <v>4.1778722472194803</v>
      </c>
    </row>
    <row r="1890" spans="1:3" x14ac:dyDescent="0.45">
      <c r="A1890" s="28">
        <v>7290103704179</v>
      </c>
      <c r="B1890" s="29">
        <v>45847</v>
      </c>
      <c r="C1890">
        <v>4.2079251410531704</v>
      </c>
    </row>
    <row r="1891" spans="1:3" x14ac:dyDescent="0.45">
      <c r="A1891" s="28">
        <v>7290103704919</v>
      </c>
      <c r="B1891" s="29">
        <v>45847</v>
      </c>
      <c r="C1891">
        <v>4.1774663754573904</v>
      </c>
    </row>
    <row r="1892" spans="1:3" x14ac:dyDescent="0.45">
      <c r="A1892" s="28">
        <v>7290107280099</v>
      </c>
      <c r="B1892" s="29">
        <v>45847</v>
      </c>
      <c r="C1892">
        <v>1.2250064376612599</v>
      </c>
    </row>
    <row r="1893" spans="1:3" x14ac:dyDescent="0.45">
      <c r="A1893" s="28">
        <v>7290108351699</v>
      </c>
      <c r="B1893" s="29">
        <v>45847</v>
      </c>
      <c r="C1893">
        <v>1.97116295675054</v>
      </c>
    </row>
    <row r="1894" spans="1:3" x14ac:dyDescent="0.45">
      <c r="A1894" s="28">
        <v>7290108352702</v>
      </c>
      <c r="B1894" s="29">
        <v>45847</v>
      </c>
      <c r="C1894">
        <v>1.2089688741281599</v>
      </c>
    </row>
    <row r="1895" spans="1:3" x14ac:dyDescent="0.45">
      <c r="A1895" s="28">
        <v>7290108356298</v>
      </c>
      <c r="B1895" s="29">
        <v>45847</v>
      </c>
      <c r="C1895">
        <v>1.9436323437873599</v>
      </c>
    </row>
    <row r="1896" spans="1:3" x14ac:dyDescent="0.45">
      <c r="A1896" s="28">
        <v>7290108356700</v>
      </c>
      <c r="B1896" s="29">
        <v>45847</v>
      </c>
      <c r="C1896">
        <v>1.21813370837487</v>
      </c>
    </row>
    <row r="1897" spans="1:3" x14ac:dyDescent="0.45">
      <c r="A1897" s="28">
        <v>7290108356717</v>
      </c>
      <c r="B1897" s="29">
        <v>45847</v>
      </c>
      <c r="C1897">
        <v>1.92910692758131</v>
      </c>
    </row>
    <row r="1898" spans="1:3" x14ac:dyDescent="0.45">
      <c r="A1898" s="28">
        <v>7290108356724</v>
      </c>
      <c r="B1898" s="29">
        <v>45847</v>
      </c>
      <c r="C1898">
        <v>1.9325439463259</v>
      </c>
    </row>
    <row r="1899" spans="1:3" x14ac:dyDescent="0.45">
      <c r="A1899" s="28">
        <v>7290108357240</v>
      </c>
      <c r="B1899" s="29">
        <v>45847</v>
      </c>
      <c r="C1899">
        <v>1.7640132493893299</v>
      </c>
    </row>
    <row r="1900" spans="1:3" x14ac:dyDescent="0.45">
      <c r="A1900" s="28">
        <v>7290108357288</v>
      </c>
      <c r="B1900" s="29">
        <v>45847</v>
      </c>
      <c r="C1900">
        <v>4.19183204759499</v>
      </c>
    </row>
    <row r="1901" spans="1:3" x14ac:dyDescent="0.45">
      <c r="A1901" s="28">
        <v>7290108357844</v>
      </c>
      <c r="B1901" s="29">
        <v>45847</v>
      </c>
      <c r="C1901">
        <v>1.95795043874387</v>
      </c>
    </row>
    <row r="1902" spans="1:3" x14ac:dyDescent="0.45">
      <c r="A1902" s="28">
        <v>7290108359077</v>
      </c>
      <c r="B1902" s="29">
        <v>45847</v>
      </c>
      <c r="C1902">
        <v>1.2098983478365499</v>
      </c>
    </row>
    <row r="1903" spans="1:3" x14ac:dyDescent="0.45">
      <c r="A1903" s="28">
        <v>7290108359176</v>
      </c>
      <c r="B1903" s="29">
        <v>45847</v>
      </c>
      <c r="C1903">
        <v>1.2151544318971099</v>
      </c>
    </row>
    <row r="1904" spans="1:3" x14ac:dyDescent="0.45">
      <c r="A1904" s="28">
        <v>7290108359190</v>
      </c>
      <c r="B1904" s="29">
        <v>45847</v>
      </c>
      <c r="C1904">
        <v>1.2130514785267501</v>
      </c>
    </row>
    <row r="1905" spans="1:3" x14ac:dyDescent="0.45">
      <c r="A1905" s="28">
        <v>8001090184375</v>
      </c>
      <c r="B1905" s="29">
        <v>45847</v>
      </c>
      <c r="C1905">
        <v>1.42033292869081</v>
      </c>
    </row>
    <row r="1906" spans="1:3" x14ac:dyDescent="0.45">
      <c r="A1906" s="28">
        <v>8001090184412</v>
      </c>
      <c r="B1906" s="29">
        <v>45847</v>
      </c>
      <c r="C1906">
        <v>4.1544202158170798</v>
      </c>
    </row>
    <row r="1907" spans="1:3" x14ac:dyDescent="0.45">
      <c r="A1907" s="28">
        <v>8001841625362</v>
      </c>
      <c r="B1907" s="29">
        <v>45847</v>
      </c>
      <c r="C1907">
        <v>1.7719170835956799</v>
      </c>
    </row>
    <row r="1908" spans="1:3" x14ac:dyDescent="0.45">
      <c r="A1908" s="28">
        <v>8001841893990</v>
      </c>
      <c r="B1908" s="29">
        <v>45847</v>
      </c>
      <c r="C1908">
        <v>1.2150334158454299</v>
      </c>
    </row>
    <row r="1909" spans="1:3" x14ac:dyDescent="0.45">
      <c r="A1909" s="28">
        <v>8006540429327</v>
      </c>
      <c r="B1909" s="29">
        <v>45847</v>
      </c>
      <c r="C1909">
        <v>4.1541784708175298</v>
      </c>
    </row>
    <row r="1910" spans="1:3" x14ac:dyDescent="0.45">
      <c r="A1910" s="28">
        <v>8700216163811</v>
      </c>
      <c r="B1910" s="29">
        <v>45847</v>
      </c>
      <c r="C1910">
        <v>4.1449574418996704</v>
      </c>
    </row>
    <row r="1911" spans="1:3" x14ac:dyDescent="0.45">
      <c r="A1911" s="28">
        <v>8700216236034</v>
      </c>
      <c r="B1911" s="29">
        <v>45847</v>
      </c>
      <c r="C1911">
        <v>1.4404991827079701</v>
      </c>
    </row>
    <row r="1912" spans="1:3" x14ac:dyDescent="0.45">
      <c r="A1912" s="28">
        <v>8700216236751</v>
      </c>
      <c r="B1912" s="29">
        <v>45847</v>
      </c>
      <c r="C1912">
        <v>1.7579145716903299</v>
      </c>
    </row>
    <row r="1913" spans="1:3" x14ac:dyDescent="0.45">
      <c r="A1913" s="28">
        <v>4084500088917</v>
      </c>
      <c r="B1913" s="29">
        <v>45848</v>
      </c>
      <c r="C1913">
        <v>4.2005430397281902</v>
      </c>
    </row>
    <row r="1914" spans="1:3" x14ac:dyDescent="0.45">
      <c r="A1914" s="28">
        <v>4084500853836</v>
      </c>
      <c r="B1914" s="29">
        <v>45848</v>
      </c>
      <c r="C1914">
        <v>4.19110906717916</v>
      </c>
    </row>
    <row r="1915" spans="1:3" x14ac:dyDescent="0.45">
      <c r="A1915" s="28">
        <v>7290000286921</v>
      </c>
      <c r="B1915" s="29">
        <v>45848</v>
      </c>
      <c r="C1915">
        <v>1.32245141760748</v>
      </c>
    </row>
    <row r="1916" spans="1:3" x14ac:dyDescent="0.45">
      <c r="A1916" s="28">
        <v>7290000288024</v>
      </c>
      <c r="B1916" s="29">
        <v>45848</v>
      </c>
      <c r="C1916">
        <v>4.2299322177998304</v>
      </c>
    </row>
    <row r="1917" spans="1:3" x14ac:dyDescent="0.45">
      <c r="A1917" s="28">
        <v>7290000288307</v>
      </c>
      <c r="B1917" s="29">
        <v>45848</v>
      </c>
      <c r="C1917">
        <v>1.21581453211719</v>
      </c>
    </row>
    <row r="1918" spans="1:3" x14ac:dyDescent="0.45">
      <c r="A1918" s="28">
        <v>7290000288659</v>
      </c>
      <c r="B1918" s="29">
        <v>45848</v>
      </c>
      <c r="C1918">
        <v>1.21378588921742</v>
      </c>
    </row>
    <row r="1919" spans="1:3" x14ac:dyDescent="0.45">
      <c r="A1919" s="28">
        <v>7290000292915</v>
      </c>
      <c r="B1919" s="29">
        <v>45848</v>
      </c>
      <c r="C1919">
        <v>1.9504898689889101</v>
      </c>
    </row>
    <row r="1920" spans="1:3" x14ac:dyDescent="0.45">
      <c r="A1920" s="28">
        <v>7290000294780</v>
      </c>
      <c r="B1920" s="29">
        <v>45848</v>
      </c>
      <c r="C1920">
        <v>4.1795488724362402</v>
      </c>
    </row>
    <row r="1921" spans="1:3" x14ac:dyDescent="0.45">
      <c r="A1921" s="28">
        <v>7290000295367</v>
      </c>
      <c r="B1921" s="29">
        <v>45848</v>
      </c>
      <c r="C1921">
        <v>1.7668677508136399</v>
      </c>
    </row>
    <row r="1922" spans="1:3" x14ac:dyDescent="0.45">
      <c r="A1922" s="28">
        <v>7290000295541</v>
      </c>
      <c r="B1922" s="29">
        <v>45848</v>
      </c>
      <c r="C1922">
        <v>1.21851255968635</v>
      </c>
    </row>
    <row r="1923" spans="1:3" x14ac:dyDescent="0.45">
      <c r="A1923" s="28">
        <v>7290001246610</v>
      </c>
      <c r="B1923" s="29">
        <v>45848</v>
      </c>
      <c r="C1923">
        <v>1.7734305948460101</v>
      </c>
    </row>
    <row r="1924" spans="1:3" x14ac:dyDescent="0.45">
      <c r="A1924" s="28">
        <v>7290005424700</v>
      </c>
      <c r="B1924" s="29">
        <v>45848</v>
      </c>
      <c r="C1924">
        <v>1.9776703530331701</v>
      </c>
    </row>
    <row r="1925" spans="1:3" x14ac:dyDescent="0.45">
      <c r="A1925" s="28">
        <v>7290005425110</v>
      </c>
      <c r="B1925" s="29">
        <v>45848</v>
      </c>
      <c r="C1925">
        <v>1.9040390407955901</v>
      </c>
    </row>
    <row r="1926" spans="1:3" x14ac:dyDescent="0.45">
      <c r="A1926" s="28">
        <v>7290005425196</v>
      </c>
      <c r="B1926" s="29">
        <v>45848</v>
      </c>
      <c r="C1926">
        <v>1.7610651523740299</v>
      </c>
    </row>
    <row r="1927" spans="1:3" x14ac:dyDescent="0.45">
      <c r="A1927" s="28">
        <v>7290012116025</v>
      </c>
      <c r="B1927" s="29">
        <v>45848</v>
      </c>
      <c r="C1927">
        <v>1.9664437397813599</v>
      </c>
    </row>
    <row r="1928" spans="1:3" x14ac:dyDescent="0.45">
      <c r="A1928" s="28">
        <v>7290012117534</v>
      </c>
      <c r="B1928" s="29">
        <v>45848</v>
      </c>
      <c r="C1928">
        <v>1.75882131398357</v>
      </c>
    </row>
    <row r="1929" spans="1:3" x14ac:dyDescent="0.45">
      <c r="A1929" s="28">
        <v>7290013268204</v>
      </c>
      <c r="B1929" s="29">
        <v>45848</v>
      </c>
      <c r="C1929">
        <v>1.2293883823729099</v>
      </c>
    </row>
    <row r="1930" spans="1:3" x14ac:dyDescent="0.45">
      <c r="A1930" s="28">
        <v>7290013268891</v>
      </c>
      <c r="B1930" s="29">
        <v>45848</v>
      </c>
      <c r="C1930">
        <v>1.7760616567918399</v>
      </c>
    </row>
    <row r="1931" spans="1:3" x14ac:dyDescent="0.45">
      <c r="A1931" s="28">
        <v>7290013269003</v>
      </c>
      <c r="B1931" s="29">
        <v>45848</v>
      </c>
      <c r="C1931">
        <v>1.7440432466008899</v>
      </c>
    </row>
    <row r="1932" spans="1:3" x14ac:dyDescent="0.45">
      <c r="A1932" s="28">
        <v>7290014397453</v>
      </c>
      <c r="B1932" s="29">
        <v>45848</v>
      </c>
      <c r="C1932">
        <v>1.77135818512659</v>
      </c>
    </row>
    <row r="1933" spans="1:3" x14ac:dyDescent="0.45">
      <c r="A1933" s="28">
        <v>7290019274483</v>
      </c>
      <c r="B1933" s="29">
        <v>45848</v>
      </c>
      <c r="C1933">
        <v>1.7626200868965001</v>
      </c>
    </row>
    <row r="1934" spans="1:3" x14ac:dyDescent="0.45">
      <c r="A1934" s="28">
        <v>7290019274490</v>
      </c>
      <c r="B1934" s="29">
        <v>45848</v>
      </c>
      <c r="C1934">
        <v>1.7518229228368201</v>
      </c>
    </row>
    <row r="1935" spans="1:3" x14ac:dyDescent="0.45">
      <c r="A1935" s="28">
        <v>7290019611325</v>
      </c>
      <c r="B1935" s="29">
        <v>45848</v>
      </c>
      <c r="C1935">
        <v>1.74307596287453</v>
      </c>
    </row>
    <row r="1936" spans="1:3" x14ac:dyDescent="0.45">
      <c r="A1936" s="28">
        <v>7290103702489</v>
      </c>
      <c r="B1936" s="29">
        <v>45848</v>
      </c>
      <c r="C1936">
        <v>4.1885631725278403</v>
      </c>
    </row>
    <row r="1937" spans="1:3" x14ac:dyDescent="0.45">
      <c r="A1937" s="28">
        <v>7290103703370</v>
      </c>
      <c r="B1937" s="29">
        <v>45848</v>
      </c>
      <c r="C1937">
        <v>4.2064366290760704</v>
      </c>
    </row>
    <row r="1938" spans="1:3" x14ac:dyDescent="0.45">
      <c r="A1938" s="28">
        <v>7290103704155</v>
      </c>
      <c r="B1938" s="29">
        <v>45848</v>
      </c>
      <c r="C1938">
        <v>4.1778722472194803</v>
      </c>
    </row>
    <row r="1939" spans="1:3" x14ac:dyDescent="0.45">
      <c r="A1939" s="28">
        <v>7290103704179</v>
      </c>
      <c r="B1939" s="29">
        <v>45848</v>
      </c>
      <c r="C1939">
        <v>4.2079251410531704</v>
      </c>
    </row>
    <row r="1940" spans="1:3" x14ac:dyDescent="0.45">
      <c r="A1940" s="28">
        <v>7290103704919</v>
      </c>
      <c r="B1940" s="29">
        <v>45848</v>
      </c>
      <c r="C1940">
        <v>4.1774663754573904</v>
      </c>
    </row>
    <row r="1941" spans="1:3" x14ac:dyDescent="0.45">
      <c r="A1941" s="28">
        <v>7290107280099</v>
      </c>
      <c r="B1941" s="29">
        <v>45848</v>
      </c>
      <c r="C1941">
        <v>1.2250064376612599</v>
      </c>
    </row>
    <row r="1942" spans="1:3" x14ac:dyDescent="0.45">
      <c r="A1942" s="28">
        <v>7290108351699</v>
      </c>
      <c r="B1942" s="29">
        <v>45848</v>
      </c>
      <c r="C1942">
        <v>1.97116295675054</v>
      </c>
    </row>
    <row r="1943" spans="1:3" x14ac:dyDescent="0.45">
      <c r="A1943" s="28">
        <v>7290108352702</v>
      </c>
      <c r="B1943" s="29">
        <v>45848</v>
      </c>
      <c r="C1943">
        <v>1.2089688741281599</v>
      </c>
    </row>
    <row r="1944" spans="1:3" x14ac:dyDescent="0.45">
      <c r="A1944" s="28">
        <v>7290108356298</v>
      </c>
      <c r="B1944" s="29">
        <v>45848</v>
      </c>
      <c r="C1944">
        <v>1.9436323437873599</v>
      </c>
    </row>
    <row r="1945" spans="1:3" x14ac:dyDescent="0.45">
      <c r="A1945" s="28">
        <v>7290108356700</v>
      </c>
      <c r="B1945" s="29">
        <v>45848</v>
      </c>
      <c r="C1945">
        <v>1.21813370837487</v>
      </c>
    </row>
    <row r="1946" spans="1:3" x14ac:dyDescent="0.45">
      <c r="A1946" s="28">
        <v>7290108356717</v>
      </c>
      <c r="B1946" s="29">
        <v>45848</v>
      </c>
      <c r="C1946">
        <v>1.92910692758131</v>
      </c>
    </row>
    <row r="1947" spans="1:3" x14ac:dyDescent="0.45">
      <c r="A1947" s="28">
        <v>7290108356724</v>
      </c>
      <c r="B1947" s="29">
        <v>45848</v>
      </c>
      <c r="C1947">
        <v>1.9325439463259</v>
      </c>
    </row>
    <row r="1948" spans="1:3" x14ac:dyDescent="0.45">
      <c r="A1948" s="28">
        <v>7290108357240</v>
      </c>
      <c r="B1948" s="29">
        <v>45848</v>
      </c>
      <c r="C1948">
        <v>1.7640132493893299</v>
      </c>
    </row>
    <row r="1949" spans="1:3" x14ac:dyDescent="0.45">
      <c r="A1949" s="28">
        <v>7290108357288</v>
      </c>
      <c r="B1949" s="29">
        <v>45848</v>
      </c>
      <c r="C1949">
        <v>4.19183204759499</v>
      </c>
    </row>
    <row r="1950" spans="1:3" x14ac:dyDescent="0.45">
      <c r="A1950" s="28">
        <v>7290108357844</v>
      </c>
      <c r="B1950" s="29">
        <v>45848</v>
      </c>
      <c r="C1950">
        <v>1.95795043874387</v>
      </c>
    </row>
    <row r="1951" spans="1:3" x14ac:dyDescent="0.45">
      <c r="A1951" s="28">
        <v>7290108359077</v>
      </c>
      <c r="B1951" s="29">
        <v>45848</v>
      </c>
      <c r="C1951">
        <v>1.2098983478365499</v>
      </c>
    </row>
    <row r="1952" spans="1:3" x14ac:dyDescent="0.45">
      <c r="A1952" s="28">
        <v>7290108359176</v>
      </c>
      <c r="B1952" s="29">
        <v>45848</v>
      </c>
      <c r="C1952">
        <v>1.2151544318971099</v>
      </c>
    </row>
    <row r="1953" spans="1:3" x14ac:dyDescent="0.45">
      <c r="A1953" s="28">
        <v>7290108359190</v>
      </c>
      <c r="B1953" s="29">
        <v>45848</v>
      </c>
      <c r="C1953">
        <v>1.2130514785267501</v>
      </c>
    </row>
    <row r="1954" spans="1:3" x14ac:dyDescent="0.45">
      <c r="A1954" s="28">
        <v>8001090184375</v>
      </c>
      <c r="B1954" s="29">
        <v>45848</v>
      </c>
      <c r="C1954">
        <v>1.42033292869081</v>
      </c>
    </row>
    <row r="1955" spans="1:3" x14ac:dyDescent="0.45">
      <c r="A1955" s="28">
        <v>8001090184412</v>
      </c>
      <c r="B1955" s="29">
        <v>45848</v>
      </c>
      <c r="C1955">
        <v>4.1544202158170798</v>
      </c>
    </row>
    <row r="1956" spans="1:3" x14ac:dyDescent="0.45">
      <c r="A1956" s="28">
        <v>8001841625362</v>
      </c>
      <c r="B1956" s="29">
        <v>45848</v>
      </c>
      <c r="C1956">
        <v>1.7719170835956799</v>
      </c>
    </row>
    <row r="1957" spans="1:3" x14ac:dyDescent="0.45">
      <c r="A1957" s="28">
        <v>8001841893990</v>
      </c>
      <c r="B1957" s="29">
        <v>45848</v>
      </c>
      <c r="C1957">
        <v>1.2150334158454299</v>
      </c>
    </row>
    <row r="1958" spans="1:3" x14ac:dyDescent="0.45">
      <c r="A1958" s="28">
        <v>8006540429327</v>
      </c>
      <c r="B1958" s="29">
        <v>45848</v>
      </c>
      <c r="C1958">
        <v>4.1541784708175298</v>
      </c>
    </row>
    <row r="1959" spans="1:3" x14ac:dyDescent="0.45">
      <c r="A1959" s="28">
        <v>8700216163811</v>
      </c>
      <c r="B1959" s="29">
        <v>45848</v>
      </c>
      <c r="C1959">
        <v>4.1449574418996704</v>
      </c>
    </row>
    <row r="1960" spans="1:3" x14ac:dyDescent="0.45">
      <c r="A1960" s="28">
        <v>8700216236034</v>
      </c>
      <c r="B1960" s="29">
        <v>45848</v>
      </c>
      <c r="C1960">
        <v>1.4404991827079701</v>
      </c>
    </row>
    <row r="1961" spans="1:3" x14ac:dyDescent="0.45">
      <c r="A1961" s="28">
        <v>8700216236751</v>
      </c>
      <c r="B1961" s="29">
        <v>45848</v>
      </c>
      <c r="C1961">
        <v>1.7579145716903299</v>
      </c>
    </row>
    <row r="1962" spans="1:3" x14ac:dyDescent="0.45">
      <c r="A1962" s="28">
        <v>4084500088917</v>
      </c>
      <c r="B1962" s="29">
        <v>45849</v>
      </c>
      <c r="C1962">
        <v>8.2979049568489298</v>
      </c>
    </row>
    <row r="1963" spans="1:3" x14ac:dyDescent="0.45">
      <c r="A1963" s="28">
        <v>4084500853836</v>
      </c>
      <c r="B1963" s="29">
        <v>45849</v>
      </c>
      <c r="C1963">
        <v>8.0833956024541394</v>
      </c>
    </row>
    <row r="1964" spans="1:3" x14ac:dyDescent="0.45">
      <c r="A1964" s="28">
        <v>7290000286921</v>
      </c>
      <c r="B1964" s="29">
        <v>45849</v>
      </c>
      <c r="C1964">
        <v>3.51796284319314</v>
      </c>
    </row>
    <row r="1965" spans="1:3" x14ac:dyDescent="0.45">
      <c r="A1965" s="28">
        <v>7290000288024</v>
      </c>
      <c r="B1965" s="29">
        <v>45849</v>
      </c>
      <c r="C1965">
        <v>8.2867921030624192</v>
      </c>
    </row>
    <row r="1966" spans="1:3" x14ac:dyDescent="0.45">
      <c r="A1966" s="28">
        <v>7290000288307</v>
      </c>
      <c r="B1966" s="29">
        <v>45849</v>
      </c>
      <c r="C1966">
        <v>3.3923182140065</v>
      </c>
    </row>
    <row r="1967" spans="1:3" x14ac:dyDescent="0.45">
      <c r="A1967" s="28">
        <v>7290000288659</v>
      </c>
      <c r="B1967" s="29">
        <v>45849</v>
      </c>
      <c r="C1967">
        <v>3.3932693933139699</v>
      </c>
    </row>
    <row r="1968" spans="1:3" x14ac:dyDescent="0.45">
      <c r="A1968" s="28">
        <v>7290000292915</v>
      </c>
      <c r="B1968" s="29">
        <v>45849</v>
      </c>
      <c r="C1968">
        <v>4.1311326037876501</v>
      </c>
    </row>
    <row r="1969" spans="1:3" x14ac:dyDescent="0.45">
      <c r="A1969" s="28">
        <v>7290000294780</v>
      </c>
      <c r="B1969" s="29">
        <v>45849</v>
      </c>
      <c r="C1969">
        <v>8.2513120346081692</v>
      </c>
    </row>
    <row r="1970" spans="1:3" x14ac:dyDescent="0.45">
      <c r="A1970" s="28">
        <v>7290000295367</v>
      </c>
      <c r="B1970" s="29">
        <v>45849</v>
      </c>
      <c r="C1970">
        <v>3.5574926139802301</v>
      </c>
    </row>
    <row r="1971" spans="1:3" x14ac:dyDescent="0.45">
      <c r="A1971" s="28">
        <v>7290000295541</v>
      </c>
      <c r="B1971" s="29">
        <v>45849</v>
      </c>
      <c r="C1971">
        <v>3.3883908770184101</v>
      </c>
    </row>
    <row r="1972" spans="1:3" x14ac:dyDescent="0.45">
      <c r="A1972" s="28">
        <v>7290001246610</v>
      </c>
      <c r="B1972" s="29">
        <v>45849</v>
      </c>
      <c r="C1972">
        <v>3.6392969113331999</v>
      </c>
    </row>
    <row r="1973" spans="1:3" x14ac:dyDescent="0.45">
      <c r="A1973" s="28">
        <v>7290005424700</v>
      </c>
      <c r="B1973" s="29">
        <v>45849</v>
      </c>
      <c r="C1973">
        <v>4.2234796181562997</v>
      </c>
    </row>
    <row r="1974" spans="1:3" x14ac:dyDescent="0.45">
      <c r="A1974" s="28">
        <v>7290005425110</v>
      </c>
      <c r="B1974" s="29">
        <v>45849</v>
      </c>
      <c r="C1974">
        <v>4.2632879960233296</v>
      </c>
    </row>
    <row r="1975" spans="1:3" x14ac:dyDescent="0.45">
      <c r="A1975" s="28">
        <v>7290005425196</v>
      </c>
      <c r="B1975" s="29">
        <v>45849</v>
      </c>
      <c r="C1975">
        <v>3.6002980636942699</v>
      </c>
    </row>
    <row r="1976" spans="1:3" x14ac:dyDescent="0.45">
      <c r="A1976" s="28">
        <v>7290012116025</v>
      </c>
      <c r="B1976" s="29">
        <v>45849</v>
      </c>
      <c r="C1976">
        <v>4.2836034183324099</v>
      </c>
    </row>
    <row r="1977" spans="1:3" x14ac:dyDescent="0.45">
      <c r="A1977" s="28">
        <v>7290012117534</v>
      </c>
      <c r="B1977" s="29">
        <v>45849</v>
      </c>
      <c r="C1977">
        <v>3.59435618256536</v>
      </c>
    </row>
    <row r="1978" spans="1:3" x14ac:dyDescent="0.45">
      <c r="A1978" s="28">
        <v>7290013268204</v>
      </c>
      <c r="B1978" s="29">
        <v>45849</v>
      </c>
      <c r="C1978">
        <v>3.3681682017627601</v>
      </c>
    </row>
    <row r="1979" spans="1:3" x14ac:dyDescent="0.45">
      <c r="A1979" s="28">
        <v>7290013268891</v>
      </c>
      <c r="B1979" s="29">
        <v>45849</v>
      </c>
      <c r="C1979">
        <v>3.5799595147616499</v>
      </c>
    </row>
    <row r="1980" spans="1:3" x14ac:dyDescent="0.45">
      <c r="A1980" s="28">
        <v>7290013269003</v>
      </c>
      <c r="B1980" s="29">
        <v>45849</v>
      </c>
      <c r="C1980">
        <v>3.5799204300558598</v>
      </c>
    </row>
    <row r="1981" spans="1:3" x14ac:dyDescent="0.45">
      <c r="A1981" s="28">
        <v>7290014397453</v>
      </c>
      <c r="B1981" s="29">
        <v>45849</v>
      </c>
      <c r="C1981">
        <v>3.6116262628589801</v>
      </c>
    </row>
    <row r="1982" spans="1:3" x14ac:dyDescent="0.45">
      <c r="A1982" s="28">
        <v>7290019274483</v>
      </c>
      <c r="B1982" s="29">
        <v>45849</v>
      </c>
      <c r="C1982">
        <v>3.6085748993404199</v>
      </c>
    </row>
    <row r="1983" spans="1:3" x14ac:dyDescent="0.45">
      <c r="A1983" s="28">
        <v>7290019274490</v>
      </c>
      <c r="B1983" s="29">
        <v>45849</v>
      </c>
      <c r="C1983">
        <v>3.6625690464774001</v>
      </c>
    </row>
    <row r="1984" spans="1:3" x14ac:dyDescent="0.45">
      <c r="A1984" s="28">
        <v>7290019611325</v>
      </c>
      <c r="B1984" s="29">
        <v>45849</v>
      </c>
      <c r="C1984">
        <v>3.5575953108992802</v>
      </c>
    </row>
    <row r="1985" spans="1:3" x14ac:dyDescent="0.45">
      <c r="A1985" s="28">
        <v>7290103702489</v>
      </c>
      <c r="B1985" s="29">
        <v>45849</v>
      </c>
      <c r="C1985">
        <v>8.2920317499110894</v>
      </c>
    </row>
    <row r="1986" spans="1:3" x14ac:dyDescent="0.45">
      <c r="A1986" s="28">
        <v>7290103703370</v>
      </c>
      <c r="B1986" s="29">
        <v>45849</v>
      </c>
      <c r="C1986">
        <v>8.1137730696634005</v>
      </c>
    </row>
    <row r="1987" spans="1:3" x14ac:dyDescent="0.45">
      <c r="A1987" s="28">
        <v>7290103704155</v>
      </c>
      <c r="B1987" s="29">
        <v>45849</v>
      </c>
      <c r="C1987">
        <v>8.32834063804723</v>
      </c>
    </row>
    <row r="1988" spans="1:3" x14ac:dyDescent="0.45">
      <c r="A1988" s="28">
        <v>7290103704179</v>
      </c>
      <c r="B1988" s="29">
        <v>45849</v>
      </c>
      <c r="C1988">
        <v>8.3006159083214897</v>
      </c>
    </row>
    <row r="1989" spans="1:3" x14ac:dyDescent="0.45">
      <c r="A1989" s="28">
        <v>7290103704919</v>
      </c>
      <c r="B1989" s="29">
        <v>45849</v>
      </c>
      <c r="C1989">
        <v>8.1244069410553692</v>
      </c>
    </row>
    <row r="1990" spans="1:3" x14ac:dyDescent="0.45">
      <c r="A1990" s="28">
        <v>7290107280099</v>
      </c>
      <c r="B1990" s="29">
        <v>45849</v>
      </c>
      <c r="C1990">
        <v>3.3639732367130502</v>
      </c>
    </row>
    <row r="1991" spans="1:3" x14ac:dyDescent="0.45">
      <c r="A1991" s="28">
        <v>7290108351699</v>
      </c>
      <c r="B1991" s="29">
        <v>45849</v>
      </c>
      <c r="C1991">
        <v>4.0946443871602698</v>
      </c>
    </row>
    <row r="1992" spans="1:3" x14ac:dyDescent="0.45">
      <c r="A1992" s="28">
        <v>7290108352702</v>
      </c>
      <c r="B1992" s="29">
        <v>45849</v>
      </c>
      <c r="C1992">
        <v>3.3749989510768499</v>
      </c>
    </row>
    <row r="1993" spans="1:3" x14ac:dyDescent="0.45">
      <c r="A1993" s="28">
        <v>7290108356298</v>
      </c>
      <c r="B1993" s="29">
        <v>45849</v>
      </c>
      <c r="C1993">
        <v>4.2385329162947398</v>
      </c>
    </row>
    <row r="1994" spans="1:3" x14ac:dyDescent="0.45">
      <c r="A1994" s="28">
        <v>7290108356700</v>
      </c>
      <c r="B1994" s="29">
        <v>45849</v>
      </c>
      <c r="C1994">
        <v>3.3962844637354799</v>
      </c>
    </row>
    <row r="1995" spans="1:3" x14ac:dyDescent="0.45">
      <c r="A1995" s="28">
        <v>7290108356717</v>
      </c>
      <c r="B1995" s="29">
        <v>45849</v>
      </c>
      <c r="C1995">
        <v>3.7718560308865601</v>
      </c>
    </row>
    <row r="1996" spans="1:3" x14ac:dyDescent="0.45">
      <c r="A1996" s="28">
        <v>7290108356724</v>
      </c>
      <c r="B1996" s="29">
        <v>45849</v>
      </c>
      <c r="C1996">
        <v>4.2393640728602202</v>
      </c>
    </row>
    <row r="1997" spans="1:3" x14ac:dyDescent="0.45">
      <c r="A1997" s="28">
        <v>7290108357240</v>
      </c>
      <c r="B1997" s="29">
        <v>45849</v>
      </c>
      <c r="C1997">
        <v>3.5300523396965602</v>
      </c>
    </row>
    <row r="1998" spans="1:3" x14ac:dyDescent="0.45">
      <c r="A1998" s="28">
        <v>7290108357288</v>
      </c>
      <c r="B1998" s="29">
        <v>45849</v>
      </c>
      <c r="C1998">
        <v>8.2017601333818995</v>
      </c>
    </row>
    <row r="1999" spans="1:3" x14ac:dyDescent="0.45">
      <c r="A1999" s="28">
        <v>7290108357844</v>
      </c>
      <c r="B1999" s="29">
        <v>45849</v>
      </c>
      <c r="C1999">
        <v>4.1611807203707096</v>
      </c>
    </row>
    <row r="2000" spans="1:3" x14ac:dyDescent="0.45">
      <c r="A2000" s="28">
        <v>7290108359077</v>
      </c>
      <c r="B2000" s="29">
        <v>45849</v>
      </c>
      <c r="C2000">
        <v>3.3677997197405598</v>
      </c>
    </row>
    <row r="2001" spans="1:3" x14ac:dyDescent="0.45">
      <c r="A2001" s="28">
        <v>7290108359176</v>
      </c>
      <c r="B2001" s="29">
        <v>45849</v>
      </c>
      <c r="C2001">
        <v>3.38167605823981</v>
      </c>
    </row>
    <row r="2002" spans="1:3" x14ac:dyDescent="0.45">
      <c r="A2002" s="28">
        <v>7290108359190</v>
      </c>
      <c r="B2002" s="29">
        <v>45849</v>
      </c>
      <c r="C2002">
        <v>3.38504409980081</v>
      </c>
    </row>
    <row r="2003" spans="1:3" x14ac:dyDescent="0.45">
      <c r="A2003" s="28">
        <v>8001090184375</v>
      </c>
      <c r="B2003" s="29">
        <v>45849</v>
      </c>
      <c r="C2003">
        <v>3.4444303084347401</v>
      </c>
    </row>
    <row r="2004" spans="1:3" x14ac:dyDescent="0.45">
      <c r="A2004" s="28">
        <v>8001090184412</v>
      </c>
      <c r="B2004" s="29">
        <v>45849</v>
      </c>
      <c r="C2004">
        <v>8.1941449313571404</v>
      </c>
    </row>
    <row r="2005" spans="1:3" x14ac:dyDescent="0.45">
      <c r="A2005" s="28">
        <v>8001841625362</v>
      </c>
      <c r="B2005" s="29">
        <v>45849</v>
      </c>
      <c r="C2005">
        <v>3.6477774735697199</v>
      </c>
    </row>
    <row r="2006" spans="1:3" x14ac:dyDescent="0.45">
      <c r="A2006" s="28">
        <v>8001841893990</v>
      </c>
      <c r="B2006" s="29">
        <v>45849</v>
      </c>
      <c r="C2006">
        <v>3.3596518899719898</v>
      </c>
    </row>
    <row r="2007" spans="1:3" x14ac:dyDescent="0.45">
      <c r="A2007" s="28">
        <v>8006540429327</v>
      </c>
      <c r="B2007" s="29">
        <v>45849</v>
      </c>
      <c r="C2007">
        <v>8.2551510781061399</v>
      </c>
    </row>
    <row r="2008" spans="1:3" x14ac:dyDescent="0.45">
      <c r="A2008" s="28">
        <v>8700216163811</v>
      </c>
      <c r="B2008" s="29">
        <v>45849</v>
      </c>
      <c r="C2008">
        <v>8.3322349266486295</v>
      </c>
    </row>
    <row r="2009" spans="1:3" x14ac:dyDescent="0.45">
      <c r="A2009" s="28">
        <v>8700216236034</v>
      </c>
      <c r="B2009" s="29">
        <v>45849</v>
      </c>
      <c r="C2009">
        <v>3.5013011553483402</v>
      </c>
    </row>
    <row r="2010" spans="1:3" x14ac:dyDescent="0.45">
      <c r="A2010" s="28">
        <v>8700216236751</v>
      </c>
      <c r="B2010" s="29">
        <v>45849</v>
      </c>
      <c r="C2010">
        <v>3.6469401290393302</v>
      </c>
    </row>
    <row r="2011" spans="1:3" x14ac:dyDescent="0.45">
      <c r="A2011" s="28">
        <v>4084500088917</v>
      </c>
      <c r="B2011" s="29">
        <v>45850</v>
      </c>
      <c r="C2011">
        <v>8.2979049568489298</v>
      </c>
    </row>
    <row r="2012" spans="1:3" x14ac:dyDescent="0.45">
      <c r="A2012" s="28">
        <v>4084500853836</v>
      </c>
      <c r="B2012" s="29">
        <v>45850</v>
      </c>
      <c r="C2012">
        <v>8.0833956024541394</v>
      </c>
    </row>
    <row r="2013" spans="1:3" x14ac:dyDescent="0.45">
      <c r="A2013" s="28">
        <v>7290000286921</v>
      </c>
      <c r="B2013" s="29">
        <v>45850</v>
      </c>
      <c r="C2013">
        <v>3.51796284319314</v>
      </c>
    </row>
    <row r="2014" spans="1:3" x14ac:dyDescent="0.45">
      <c r="A2014" s="28">
        <v>7290000288024</v>
      </c>
      <c r="B2014" s="29">
        <v>45850</v>
      </c>
      <c r="C2014">
        <v>8.2867921030624192</v>
      </c>
    </row>
    <row r="2015" spans="1:3" x14ac:dyDescent="0.45">
      <c r="A2015" s="28">
        <v>7290000288307</v>
      </c>
      <c r="B2015" s="29">
        <v>45850</v>
      </c>
      <c r="C2015">
        <v>3.3923182140065</v>
      </c>
    </row>
    <row r="2016" spans="1:3" x14ac:dyDescent="0.45">
      <c r="A2016" s="28">
        <v>7290000288659</v>
      </c>
      <c r="B2016" s="29">
        <v>45850</v>
      </c>
      <c r="C2016">
        <v>3.3932693933139699</v>
      </c>
    </row>
    <row r="2017" spans="1:3" x14ac:dyDescent="0.45">
      <c r="A2017" s="28">
        <v>7290000292915</v>
      </c>
      <c r="B2017" s="29">
        <v>45850</v>
      </c>
      <c r="C2017">
        <v>4.1311326037876501</v>
      </c>
    </row>
    <row r="2018" spans="1:3" x14ac:dyDescent="0.45">
      <c r="A2018" s="28">
        <v>7290000294780</v>
      </c>
      <c r="B2018" s="29">
        <v>45850</v>
      </c>
      <c r="C2018">
        <v>8.2513120346081692</v>
      </c>
    </row>
    <row r="2019" spans="1:3" x14ac:dyDescent="0.45">
      <c r="A2019" s="28">
        <v>7290000295367</v>
      </c>
      <c r="B2019" s="29">
        <v>45850</v>
      </c>
      <c r="C2019">
        <v>3.5574926139802301</v>
      </c>
    </row>
    <row r="2020" spans="1:3" x14ac:dyDescent="0.45">
      <c r="A2020" s="28">
        <v>7290000295541</v>
      </c>
      <c r="B2020" s="29">
        <v>45850</v>
      </c>
      <c r="C2020">
        <v>3.3883908770184101</v>
      </c>
    </row>
    <row r="2021" spans="1:3" x14ac:dyDescent="0.45">
      <c r="A2021" s="28">
        <v>7290001246610</v>
      </c>
      <c r="B2021" s="29">
        <v>45850</v>
      </c>
      <c r="C2021">
        <v>3.6392969113331999</v>
      </c>
    </row>
    <row r="2022" spans="1:3" x14ac:dyDescent="0.45">
      <c r="A2022" s="28">
        <v>7290005424700</v>
      </c>
      <c r="B2022" s="29">
        <v>45850</v>
      </c>
      <c r="C2022">
        <v>4.2234796181562997</v>
      </c>
    </row>
    <row r="2023" spans="1:3" x14ac:dyDescent="0.45">
      <c r="A2023" s="28">
        <v>7290005425110</v>
      </c>
      <c r="B2023" s="29">
        <v>45850</v>
      </c>
      <c r="C2023">
        <v>4.2632879960233296</v>
      </c>
    </row>
    <row r="2024" spans="1:3" x14ac:dyDescent="0.45">
      <c r="A2024" s="28">
        <v>7290005425196</v>
      </c>
      <c r="B2024" s="29">
        <v>45850</v>
      </c>
      <c r="C2024">
        <v>3.6002980636942699</v>
      </c>
    </row>
    <row r="2025" spans="1:3" x14ac:dyDescent="0.45">
      <c r="A2025" s="28">
        <v>7290012116025</v>
      </c>
      <c r="B2025" s="29">
        <v>45850</v>
      </c>
      <c r="C2025">
        <v>4.2836034183324099</v>
      </c>
    </row>
    <row r="2026" spans="1:3" x14ac:dyDescent="0.45">
      <c r="A2026" s="28">
        <v>7290012117534</v>
      </c>
      <c r="B2026" s="29">
        <v>45850</v>
      </c>
      <c r="C2026">
        <v>3.59435618256536</v>
      </c>
    </row>
    <row r="2027" spans="1:3" x14ac:dyDescent="0.45">
      <c r="A2027" s="28">
        <v>7290013268204</v>
      </c>
      <c r="B2027" s="29">
        <v>45850</v>
      </c>
      <c r="C2027">
        <v>3.3681682017627601</v>
      </c>
    </row>
    <row r="2028" spans="1:3" x14ac:dyDescent="0.45">
      <c r="A2028" s="28">
        <v>7290013268891</v>
      </c>
      <c r="B2028" s="29">
        <v>45850</v>
      </c>
      <c r="C2028">
        <v>3.5799595147616499</v>
      </c>
    </row>
    <row r="2029" spans="1:3" x14ac:dyDescent="0.45">
      <c r="A2029" s="28">
        <v>7290013269003</v>
      </c>
      <c r="B2029" s="29">
        <v>45850</v>
      </c>
      <c r="C2029">
        <v>3.5799204300558598</v>
      </c>
    </row>
    <row r="2030" spans="1:3" x14ac:dyDescent="0.45">
      <c r="A2030" s="28">
        <v>7290014397453</v>
      </c>
      <c r="B2030" s="29">
        <v>45850</v>
      </c>
      <c r="C2030">
        <v>3.6116262628589801</v>
      </c>
    </row>
    <row r="2031" spans="1:3" x14ac:dyDescent="0.45">
      <c r="A2031" s="28">
        <v>7290019274483</v>
      </c>
      <c r="B2031" s="29">
        <v>45850</v>
      </c>
      <c r="C2031">
        <v>3.6085748993404199</v>
      </c>
    </row>
    <row r="2032" spans="1:3" x14ac:dyDescent="0.45">
      <c r="A2032" s="28">
        <v>7290019274490</v>
      </c>
      <c r="B2032" s="29">
        <v>45850</v>
      </c>
      <c r="C2032">
        <v>3.6625690464774001</v>
      </c>
    </row>
    <row r="2033" spans="1:3" x14ac:dyDescent="0.45">
      <c r="A2033" s="28">
        <v>7290019611325</v>
      </c>
      <c r="B2033" s="29">
        <v>45850</v>
      </c>
      <c r="C2033">
        <v>3.5575953108992802</v>
      </c>
    </row>
    <row r="2034" spans="1:3" x14ac:dyDescent="0.45">
      <c r="A2034" s="28">
        <v>7290103702489</v>
      </c>
      <c r="B2034" s="29">
        <v>45850</v>
      </c>
      <c r="C2034">
        <v>8.2920317499110894</v>
      </c>
    </row>
    <row r="2035" spans="1:3" x14ac:dyDescent="0.45">
      <c r="A2035" s="28">
        <v>7290103703370</v>
      </c>
      <c r="B2035" s="29">
        <v>45850</v>
      </c>
      <c r="C2035">
        <v>8.1137730696634005</v>
      </c>
    </row>
    <row r="2036" spans="1:3" x14ac:dyDescent="0.45">
      <c r="A2036" s="28">
        <v>7290103704155</v>
      </c>
      <c r="B2036" s="29">
        <v>45850</v>
      </c>
      <c r="C2036">
        <v>8.32834063804723</v>
      </c>
    </row>
    <row r="2037" spans="1:3" x14ac:dyDescent="0.45">
      <c r="A2037" s="28">
        <v>7290103704179</v>
      </c>
      <c r="B2037" s="29">
        <v>45850</v>
      </c>
      <c r="C2037">
        <v>8.3006159083214897</v>
      </c>
    </row>
    <row r="2038" spans="1:3" x14ac:dyDescent="0.45">
      <c r="A2038" s="28">
        <v>7290103704919</v>
      </c>
      <c r="B2038" s="29">
        <v>45850</v>
      </c>
      <c r="C2038">
        <v>8.1244069410553692</v>
      </c>
    </row>
    <row r="2039" spans="1:3" x14ac:dyDescent="0.45">
      <c r="A2039" s="28">
        <v>7290107280099</v>
      </c>
      <c r="B2039" s="29">
        <v>45850</v>
      </c>
      <c r="C2039">
        <v>3.3639732367130502</v>
      </c>
    </row>
    <row r="2040" spans="1:3" x14ac:dyDescent="0.45">
      <c r="A2040" s="28">
        <v>7290108351699</v>
      </c>
      <c r="B2040" s="29">
        <v>45850</v>
      </c>
      <c r="C2040">
        <v>4.0946443871602698</v>
      </c>
    </row>
    <row r="2041" spans="1:3" x14ac:dyDescent="0.45">
      <c r="A2041" s="28">
        <v>7290108352702</v>
      </c>
      <c r="B2041" s="29">
        <v>45850</v>
      </c>
      <c r="C2041">
        <v>3.3749989510768499</v>
      </c>
    </row>
    <row r="2042" spans="1:3" x14ac:dyDescent="0.45">
      <c r="A2042" s="28">
        <v>7290108356298</v>
      </c>
      <c r="B2042" s="29">
        <v>45850</v>
      </c>
      <c r="C2042">
        <v>4.2385329162947398</v>
      </c>
    </row>
    <row r="2043" spans="1:3" x14ac:dyDescent="0.45">
      <c r="A2043" s="28">
        <v>7290108356700</v>
      </c>
      <c r="B2043" s="29">
        <v>45850</v>
      </c>
      <c r="C2043">
        <v>3.3962844637354799</v>
      </c>
    </row>
    <row r="2044" spans="1:3" x14ac:dyDescent="0.45">
      <c r="A2044" s="28">
        <v>7290108356717</v>
      </c>
      <c r="B2044" s="29">
        <v>45850</v>
      </c>
      <c r="C2044">
        <v>3.7718560308865601</v>
      </c>
    </row>
    <row r="2045" spans="1:3" x14ac:dyDescent="0.45">
      <c r="A2045" s="28">
        <v>7290108356724</v>
      </c>
      <c r="B2045" s="29">
        <v>45850</v>
      </c>
      <c r="C2045">
        <v>4.2393640728602202</v>
      </c>
    </row>
    <row r="2046" spans="1:3" x14ac:dyDescent="0.45">
      <c r="A2046" s="28">
        <v>7290108357240</v>
      </c>
      <c r="B2046" s="29">
        <v>45850</v>
      </c>
      <c r="C2046">
        <v>3.5300523396965602</v>
      </c>
    </row>
    <row r="2047" spans="1:3" x14ac:dyDescent="0.45">
      <c r="A2047" s="28">
        <v>7290108357288</v>
      </c>
      <c r="B2047" s="29">
        <v>45850</v>
      </c>
      <c r="C2047">
        <v>8.2017601333818995</v>
      </c>
    </row>
    <row r="2048" spans="1:3" x14ac:dyDescent="0.45">
      <c r="A2048" s="28">
        <v>7290108357844</v>
      </c>
      <c r="B2048" s="29">
        <v>45850</v>
      </c>
      <c r="C2048">
        <v>4.1611807203707096</v>
      </c>
    </row>
    <row r="2049" spans="1:3" x14ac:dyDescent="0.45">
      <c r="A2049" s="28">
        <v>7290108359077</v>
      </c>
      <c r="B2049" s="29">
        <v>45850</v>
      </c>
      <c r="C2049">
        <v>3.3677997197405598</v>
      </c>
    </row>
    <row r="2050" spans="1:3" x14ac:dyDescent="0.45">
      <c r="A2050" s="28">
        <v>7290108359176</v>
      </c>
      <c r="B2050" s="29">
        <v>45850</v>
      </c>
      <c r="C2050">
        <v>3.38167605823981</v>
      </c>
    </row>
    <row r="2051" spans="1:3" x14ac:dyDescent="0.45">
      <c r="A2051" s="28">
        <v>7290108359190</v>
      </c>
      <c r="B2051" s="29">
        <v>45850</v>
      </c>
      <c r="C2051">
        <v>3.38504409980081</v>
      </c>
    </row>
    <row r="2052" spans="1:3" x14ac:dyDescent="0.45">
      <c r="A2052" s="28">
        <v>8001090184375</v>
      </c>
      <c r="B2052" s="29">
        <v>45850</v>
      </c>
      <c r="C2052">
        <v>3.4444303084347401</v>
      </c>
    </row>
    <row r="2053" spans="1:3" x14ac:dyDescent="0.45">
      <c r="A2053" s="28">
        <v>8001090184412</v>
      </c>
      <c r="B2053" s="29">
        <v>45850</v>
      </c>
      <c r="C2053">
        <v>8.1941449313571404</v>
      </c>
    </row>
    <row r="2054" spans="1:3" x14ac:dyDescent="0.45">
      <c r="A2054" s="28">
        <v>8001841625362</v>
      </c>
      <c r="B2054" s="29">
        <v>45850</v>
      </c>
      <c r="C2054">
        <v>3.6477774735697199</v>
      </c>
    </row>
    <row r="2055" spans="1:3" x14ac:dyDescent="0.45">
      <c r="A2055" s="28">
        <v>8001841893990</v>
      </c>
      <c r="B2055" s="29">
        <v>45850</v>
      </c>
      <c r="C2055">
        <v>3.3596518899719898</v>
      </c>
    </row>
    <row r="2056" spans="1:3" x14ac:dyDescent="0.45">
      <c r="A2056" s="28">
        <v>8006540429327</v>
      </c>
      <c r="B2056" s="29">
        <v>45850</v>
      </c>
      <c r="C2056">
        <v>8.2551510781061399</v>
      </c>
    </row>
    <row r="2057" spans="1:3" x14ac:dyDescent="0.45">
      <c r="A2057" s="28">
        <v>8700216163811</v>
      </c>
      <c r="B2057" s="29">
        <v>45850</v>
      </c>
      <c r="C2057">
        <v>8.3322349266486295</v>
      </c>
    </row>
    <row r="2058" spans="1:3" x14ac:dyDescent="0.45">
      <c r="A2058" s="28">
        <v>8700216236034</v>
      </c>
      <c r="B2058" s="29">
        <v>45850</v>
      </c>
      <c r="C2058">
        <v>3.5013011553483402</v>
      </c>
    </row>
    <row r="2059" spans="1:3" x14ac:dyDescent="0.45">
      <c r="A2059" s="28">
        <v>8700216236751</v>
      </c>
      <c r="B2059" s="29">
        <v>45850</v>
      </c>
      <c r="C2059">
        <v>3.6469401290393302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EED8-631B-41E3-ACE7-7BC2080149C2}">
  <dimension ref="A1:H16"/>
  <sheetViews>
    <sheetView zoomScaleNormal="100" workbookViewId="0">
      <selection activeCell="F26" sqref="F26"/>
    </sheetView>
  </sheetViews>
  <sheetFormatPr defaultRowHeight="14.25" x14ac:dyDescent="0.45"/>
  <cols>
    <col min="1" max="1" width="13.86328125" style="28" customWidth="1"/>
    <col min="4" max="5" width="13.796875" style="28" bestFit="1" customWidth="1"/>
    <col min="7" max="7" width="13.796875" style="28" bestFit="1" customWidth="1"/>
  </cols>
  <sheetData>
    <row r="1" spans="1:8" x14ac:dyDescent="0.45">
      <c r="A1" s="38">
        <v>0</v>
      </c>
      <c r="B1" s="38"/>
      <c r="D1" s="38">
        <v>0</v>
      </c>
      <c r="E1" s="38"/>
      <c r="G1" s="39">
        <v>1</v>
      </c>
      <c r="H1" s="39"/>
    </row>
    <row r="2" spans="1:8" x14ac:dyDescent="0.45">
      <c r="G2" s="28">
        <v>7290103704919</v>
      </c>
      <c r="H2">
        <v>73</v>
      </c>
    </row>
    <row r="3" spans="1:8" x14ac:dyDescent="0.45">
      <c r="G3" s="28">
        <v>8006540429327</v>
      </c>
      <c r="H3">
        <v>77</v>
      </c>
    </row>
    <row r="4" spans="1:8" x14ac:dyDescent="0.45">
      <c r="G4" s="28">
        <v>8700216163811</v>
      </c>
      <c r="H4">
        <v>77</v>
      </c>
    </row>
    <row r="15" spans="1:8" x14ac:dyDescent="0.45">
      <c r="E15"/>
    </row>
    <row r="16" spans="1:8" x14ac:dyDescent="0.45">
      <c r="E16"/>
    </row>
  </sheetData>
  <mergeCells count="3">
    <mergeCell ref="A1:B1"/>
    <mergeCell ref="D1:E1"/>
    <mergeCell ref="G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4643-EE0F-4101-914C-80D521D5394E}">
  <sheetPr codeName="Sheet9"/>
  <dimension ref="A1"/>
  <sheetViews>
    <sheetView workbookViewId="0">
      <selection activeCell="A3" sqref="A3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Manager</vt:lpstr>
      <vt:lpstr>INVENTORY</vt:lpstr>
      <vt:lpstr>PURCHASES</vt:lpstr>
      <vt:lpstr>SALES ORDER</vt:lpstr>
      <vt:lpstr>PRODUCTS</vt:lpstr>
      <vt:lpstr>SUPPLIERS</vt:lpstr>
      <vt:lpstr>CUSTOMERS</vt:lpstr>
      <vt:lpstr>Model_predictions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 Kaloti</dc:creator>
  <cp:lastModifiedBy>Adel Kaloti</cp:lastModifiedBy>
  <dcterms:created xsi:type="dcterms:W3CDTF">2024-12-03T16:46:25Z</dcterms:created>
  <dcterms:modified xsi:type="dcterms:W3CDTF">2025-07-23T15:41:28Z</dcterms:modified>
</cp:coreProperties>
</file>